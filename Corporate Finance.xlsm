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\Desktop\"/>
    </mc:Choice>
  </mc:AlternateContent>
  <xr:revisionPtr revIDLastSave="0" documentId="13_ncr:1_{039EB91A-1999-4E3C-8426-08A4CB49CBC8}" xr6:coauthVersionLast="47" xr6:coauthVersionMax="47" xr10:uidLastSave="{00000000-0000-0000-0000-000000000000}"/>
  <bookViews>
    <workbookView xWindow="10245" yWindow="0" windowWidth="10245" windowHeight="11070" firstSheet="1" activeTab="2" xr2:uid="{8A2CD41D-3FBC-4CFC-B3ED-8353CF6C1105}"/>
  </bookViews>
  <sheets>
    <sheet name="Sheet1" sheetId="1" r:id="rId1"/>
    <sheet name="PV and NPV" sheetId="2" r:id="rId2"/>
    <sheet name="FV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2" i="3" l="1"/>
  <c r="B71" i="3"/>
  <c r="B70" i="3"/>
  <c r="B69" i="3"/>
  <c r="B68" i="3"/>
  <c r="B67" i="3"/>
  <c r="B66" i="3"/>
  <c r="B65" i="3"/>
  <c r="C61" i="3" a="1"/>
  <c r="C61" i="3" s="1"/>
  <c r="B61" i="3"/>
  <c r="C59" i="3" a="1"/>
  <c r="C59" i="3"/>
  <c r="B59" i="3"/>
  <c r="B52" i="3"/>
  <c r="B51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213" i="2" a="1"/>
  <c r="C213" i="2"/>
  <c r="C28" i="3" a="1"/>
  <c r="C28" i="3"/>
  <c r="B28" i="3"/>
  <c r="B19" i="3"/>
  <c r="E18" i="3"/>
  <c r="E17" i="3"/>
  <c r="D19" i="3"/>
  <c r="E19" i="3" s="1"/>
  <c r="B20" i="3" s="1"/>
  <c r="D17" i="3"/>
  <c r="C26" i="3"/>
  <c r="C25" i="3"/>
  <c r="C24" i="3"/>
  <c r="C23" i="3"/>
  <c r="C22" i="3"/>
  <c r="C21" i="3"/>
  <c r="C20" i="3"/>
  <c r="C19" i="3"/>
  <c r="C18" i="3"/>
  <c r="C17" i="3"/>
  <c r="B18" i="3"/>
  <c r="D18" i="3" s="1"/>
  <c r="C6" i="3" a="1"/>
  <c r="C6" i="3" s="1"/>
  <c r="B6" i="3"/>
  <c r="C7" i="3" a="1"/>
  <c r="C7" i="3"/>
  <c r="B7" i="3"/>
  <c r="B213" i="2"/>
  <c r="D211" i="2" a="1"/>
  <c r="D211" i="2"/>
  <c r="F205" i="2" a="1"/>
  <c r="F205" i="2"/>
  <c r="D205" i="2"/>
  <c r="C200" i="2" a="1"/>
  <c r="C200" i="2" s="1"/>
  <c r="C199" i="2" a="1"/>
  <c r="C199" i="2"/>
  <c r="B199" i="2"/>
  <c r="B200" i="2"/>
  <c r="C190" i="2" a="1"/>
  <c r="C190" i="2"/>
  <c r="C192" i="2" a="1"/>
  <c r="C192" i="2"/>
  <c r="B192" i="2"/>
  <c r="C156" i="2" a="1"/>
  <c r="C156" i="2"/>
  <c r="G79" i="2"/>
  <c r="G80" i="2" s="1"/>
  <c r="G81" i="2" s="1"/>
  <c r="G82" i="2" s="1"/>
  <c r="E82" i="2"/>
  <c r="E81" i="2"/>
  <c r="E80" i="2"/>
  <c r="E79" i="2"/>
  <c r="E78" i="2"/>
  <c r="F167" i="2" a="1"/>
  <c r="F167" i="2"/>
  <c r="C189" i="2" a="1"/>
  <c r="C189" i="2"/>
  <c r="G135" i="2" a="1"/>
  <c r="G135" i="2"/>
  <c r="D168" i="2"/>
  <c r="B164" i="2"/>
  <c r="B156" i="2"/>
  <c r="B157" i="2"/>
  <c r="C157" i="2" a="1"/>
  <c r="C157" i="2" s="1"/>
  <c r="E135" i="2"/>
  <c r="D136" i="2"/>
  <c r="C74" i="2" a="1"/>
  <c r="C74" i="2"/>
  <c r="C128" i="2" a="1"/>
  <c r="C128" i="2"/>
  <c r="B128" i="2"/>
  <c r="C117" i="2"/>
  <c r="F117" i="2" a="1"/>
  <c r="F117" i="2"/>
  <c r="C115" i="2" a="1"/>
  <c r="C115" i="2"/>
  <c r="E117" i="2"/>
  <c r="B118" i="2" s="1"/>
  <c r="C118" i="2" s="1"/>
  <c r="B110" i="2"/>
  <c r="C110" i="2" a="1"/>
  <c r="C110" i="2"/>
  <c r="C91" i="2" a="1"/>
  <c r="C91" i="2"/>
  <c r="B91" i="2"/>
  <c r="C84" i="2" a="1"/>
  <c r="C84" i="2" s="1"/>
  <c r="C82" i="2" a="1"/>
  <c r="C82" i="2" s="1"/>
  <c r="C81" i="2" a="1"/>
  <c r="C81" i="2" s="1"/>
  <c r="C80" i="2" a="1"/>
  <c r="C80" i="2" s="1"/>
  <c r="C79" i="2" a="1"/>
  <c r="C79" i="2" s="1"/>
  <c r="C78" i="2" a="1"/>
  <c r="C78" i="2"/>
  <c r="B82" i="2"/>
  <c r="B81" i="2"/>
  <c r="B80" i="2"/>
  <c r="B79" i="2"/>
  <c r="B84" i="2" s="1"/>
  <c r="B74" i="2"/>
  <c r="C65" i="2" a="1"/>
  <c r="C65" i="2"/>
  <c r="B65" i="2"/>
  <c r="C59" i="2" a="1"/>
  <c r="C59" i="2"/>
  <c r="C54" i="2" a="1"/>
  <c r="C54" i="2"/>
  <c r="B58" i="2"/>
  <c r="B57" i="2"/>
  <c r="B56" i="2"/>
  <c r="B55" i="2"/>
  <c r="B54" i="2"/>
  <c r="B59" i="2"/>
  <c r="C9" i="2"/>
  <c r="C8" i="2"/>
  <c r="C7" i="2"/>
  <c r="C50" i="2" a="1"/>
  <c r="C50" i="2" s="1"/>
  <c r="C49" i="2" a="1"/>
  <c r="C49" i="2"/>
  <c r="B50" i="2"/>
  <c r="B49" i="2"/>
  <c r="C27" i="2" a="1"/>
  <c r="C27" i="2" s="1"/>
  <c r="C26" i="2" a="1"/>
  <c r="C26" i="2"/>
  <c r="B27" i="2"/>
  <c r="D18" i="2" a="1"/>
  <c r="D18" i="2" s="1"/>
  <c r="C18" i="2"/>
  <c r="D23" i="2" a="1"/>
  <c r="D23" i="2" s="1"/>
  <c r="C23" i="2"/>
  <c r="D22" i="2" a="1"/>
  <c r="D22" i="2" s="1"/>
  <c r="C22" i="2"/>
  <c r="D21" i="2" a="1"/>
  <c r="D21" i="2" s="1"/>
  <c r="C21" i="2"/>
  <c r="D20" i="2" a="1"/>
  <c r="D20" i="2" s="1"/>
  <c r="C20" i="2"/>
  <c r="D19" i="2" a="1"/>
  <c r="D19" i="2" s="1"/>
  <c r="C19" i="2"/>
  <c r="C34" i="2"/>
  <c r="D34" i="2" a="1"/>
  <c r="D34" i="2"/>
  <c r="C35" i="2"/>
  <c r="D35" i="2" a="1"/>
  <c r="D35" i="2"/>
  <c r="C36" i="2"/>
  <c r="D36" i="2" a="1"/>
  <c r="D36" i="2"/>
  <c r="C37" i="2"/>
  <c r="D37" i="2" a="1"/>
  <c r="D37" i="2"/>
  <c r="C38" i="2"/>
  <c r="D38" i="2" a="1"/>
  <c r="D38" i="2"/>
  <c r="C40" i="2"/>
  <c r="D40" i="2" a="1"/>
  <c r="D40" i="2"/>
  <c r="D41" i="2" a="1"/>
  <c r="D41" i="2" s="1"/>
  <c r="C41" i="2"/>
  <c r="D13" i="2" a="1"/>
  <c r="D13" i="2" s="1"/>
  <c r="D12" i="2" a="1"/>
  <c r="D12" i="2" s="1"/>
  <c r="C13" i="2"/>
  <c r="C12" i="2"/>
  <c r="D11" i="2" a="1"/>
  <c r="D11" i="2"/>
  <c r="D9" i="2" a="1"/>
  <c r="D9" i="2" s="1"/>
  <c r="D8" i="2" a="1"/>
  <c r="D8" i="2" s="1"/>
  <c r="D7" i="2" a="1"/>
  <c r="D7" i="2" s="1"/>
  <c r="D6" i="2" a="1"/>
  <c r="D6" i="2" s="1"/>
  <c r="D5" i="2" a="1"/>
  <c r="D5" i="2"/>
  <c r="C6" i="2"/>
  <c r="C5" i="2"/>
  <c r="C11" i="2" s="1"/>
  <c r="C8" i="1" a="1"/>
  <c r="C8" i="1"/>
  <c r="C7" i="1" a="1"/>
  <c r="C7" i="1"/>
  <c r="B8" i="1"/>
  <c r="B7" i="1"/>
  <c r="D37" i="3" l="1"/>
  <c r="E37" i="3" s="1"/>
  <c r="B38" i="3" s="1"/>
  <c r="D38" i="3"/>
  <c r="E38" i="3" s="1"/>
  <c r="B39" i="3" s="1"/>
  <c r="D20" i="3"/>
  <c r="E20" i="3" s="1"/>
  <c r="B21" i="3" s="1"/>
  <c r="I140" i="2"/>
  <c r="K140" i="2" s="1"/>
  <c r="H141" i="2" s="1"/>
  <c r="I141" i="2" s="1"/>
  <c r="C210" i="2"/>
  <c r="C209" i="2"/>
  <c r="C208" i="2"/>
  <c r="C207" i="2"/>
  <c r="C206" i="2"/>
  <c r="C205" i="2"/>
  <c r="E205" i="2" s="1"/>
  <c r="B206" i="2" s="1"/>
  <c r="K141" i="2"/>
  <c r="H142" i="2" s="1"/>
  <c r="I142" i="2" s="1"/>
  <c r="K142" i="2"/>
  <c r="H143" i="2" s="1"/>
  <c r="I143" i="2" s="1"/>
  <c r="D169" i="2"/>
  <c r="B175" i="2"/>
  <c r="B174" i="2"/>
  <c r="B173" i="2"/>
  <c r="B172" i="2"/>
  <c r="B171" i="2"/>
  <c r="B170" i="2"/>
  <c r="B169" i="2"/>
  <c r="E136" i="2"/>
  <c r="D137" i="2"/>
  <c r="E118" i="2"/>
  <c r="B119" i="2" s="1"/>
  <c r="C119" i="2" s="1"/>
  <c r="B26" i="2"/>
  <c r="D39" i="3" l="1"/>
  <c r="E39" i="3" s="1"/>
  <c r="B40" i="3" s="1"/>
  <c r="D40" i="3" s="1"/>
  <c r="E40" i="3" s="1"/>
  <c r="B41" i="3" s="1"/>
  <c r="D41" i="3"/>
  <c r="E41" i="3" s="1"/>
  <c r="B42" i="3" s="1"/>
  <c r="D21" i="3"/>
  <c r="E21" i="3" s="1"/>
  <c r="B22" i="3" s="1"/>
  <c r="B189" i="2"/>
  <c r="B190" i="2" s="1"/>
  <c r="E167" i="2"/>
  <c r="E168" i="2"/>
  <c r="D206" i="2"/>
  <c r="E206" i="2"/>
  <c r="B207" i="2" s="1"/>
  <c r="K143" i="2"/>
  <c r="H144" i="2" s="1"/>
  <c r="I144" i="2" s="1"/>
  <c r="D170" i="2"/>
  <c r="E169" i="2"/>
  <c r="E137" i="2"/>
  <c r="D138" i="2"/>
  <c r="E119" i="2"/>
  <c r="B120" i="2" s="1"/>
  <c r="D42" i="3" l="1"/>
  <c r="E42" i="3" s="1"/>
  <c r="B43" i="3" s="1"/>
  <c r="D22" i="3"/>
  <c r="E22" i="3" s="1"/>
  <c r="B23" i="3" s="1"/>
  <c r="D207" i="2"/>
  <c r="E207" i="2" s="1"/>
  <c r="B208" i="2"/>
  <c r="D208" i="2" s="1"/>
  <c r="E208" i="2" s="1"/>
  <c r="B209" i="2" s="1"/>
  <c r="D209" i="2"/>
  <c r="E209" i="2" s="1"/>
  <c r="B210" i="2" s="1"/>
  <c r="K144" i="2"/>
  <c r="D171" i="2"/>
  <c r="E170" i="2"/>
  <c r="D139" i="2"/>
  <c r="E138" i="2"/>
  <c r="C120" i="2"/>
  <c r="E120" i="2" s="1"/>
  <c r="B121" i="2" s="1"/>
  <c r="D43" i="3" l="1"/>
  <c r="E43" i="3" s="1"/>
  <c r="B44" i="3" s="1"/>
  <c r="D23" i="3"/>
  <c r="E23" i="3" s="1"/>
  <c r="B24" i="3" s="1"/>
  <c r="D210" i="2"/>
  <c r="E210" i="2" s="1"/>
  <c r="B211" i="2" s="1"/>
  <c r="D172" i="2"/>
  <c r="E171" i="2"/>
  <c r="D140" i="2"/>
  <c r="E139" i="2"/>
  <c r="C121" i="2"/>
  <c r="E121" i="2"/>
  <c r="D44" i="3" l="1"/>
  <c r="E44" i="3" s="1"/>
  <c r="B45" i="3" s="1"/>
  <c r="D24" i="3"/>
  <c r="E24" i="3" s="1"/>
  <c r="B25" i="3" s="1"/>
  <c r="D173" i="2"/>
  <c r="E172" i="2"/>
  <c r="D141" i="2"/>
  <c r="E140" i="2"/>
  <c r="D45" i="3" l="1"/>
  <c r="E45" i="3" s="1"/>
  <c r="B46" i="3" s="1"/>
  <c r="D25" i="3"/>
  <c r="E25" i="3" s="1"/>
  <c r="B26" i="3" s="1"/>
  <c r="D174" i="2"/>
  <c r="E173" i="2"/>
  <c r="D142" i="2"/>
  <c r="E141" i="2"/>
  <c r="D46" i="3" l="1"/>
  <c r="E46" i="3" s="1"/>
  <c r="B47" i="3" s="1"/>
  <c r="D26" i="3"/>
  <c r="E26" i="3" s="1"/>
  <c r="D175" i="2"/>
  <c r="E174" i="2"/>
  <c r="D143" i="2"/>
  <c r="E142" i="2"/>
  <c r="D47" i="3" l="1"/>
  <c r="E47" i="3" s="1"/>
  <c r="B48" i="3" s="1"/>
  <c r="D176" i="2"/>
  <c r="E175" i="2"/>
  <c r="D144" i="2"/>
  <c r="E143" i="2"/>
  <c r="D48" i="3" l="1"/>
  <c r="E48" i="3" s="1"/>
  <c r="B49" i="3" s="1"/>
  <c r="D177" i="2"/>
  <c r="E177" i="2" s="1"/>
  <c r="E176" i="2"/>
  <c r="D145" i="2"/>
  <c r="E144" i="2"/>
  <c r="D49" i="3" l="1"/>
  <c r="E49" i="3" s="1"/>
  <c r="D146" i="2"/>
  <c r="E145" i="2"/>
  <c r="D147" i="2" l="1"/>
  <c r="E146" i="2"/>
  <c r="E147" i="2" l="1"/>
  <c r="D148" i="2"/>
  <c r="E148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<sst xmlns="http://schemas.openxmlformats.org/spreadsheetml/2006/main" count="165" uniqueCount="118">
  <si>
    <t>Item</t>
  </si>
  <si>
    <t>Value</t>
  </si>
  <si>
    <t>A</t>
  </si>
  <si>
    <t>B</t>
  </si>
  <si>
    <t>C</t>
  </si>
  <si>
    <t>D</t>
  </si>
  <si>
    <t>Average</t>
  </si>
  <si>
    <t>Sum</t>
  </si>
  <si>
    <t>Discount rate</t>
  </si>
  <si>
    <t>Year</t>
  </si>
  <si>
    <t>Cash flow</t>
  </si>
  <si>
    <t>Present value</t>
  </si>
  <si>
    <t>Using Excel's NPV function</t>
  </si>
  <si>
    <t>Using Excel's PV function</t>
  </si>
  <si>
    <t>handles only constant cash flows</t>
  </si>
  <si>
    <t>COMPUTING THE PRESENT VALUE - constant cash flows</t>
  </si>
  <si>
    <t>COMPUTING THE PRESENT VALUE - unequal cash flows</t>
  </si>
  <si>
    <t>Net Present Value</t>
  </si>
  <si>
    <t>Sum of Present values</t>
  </si>
  <si>
    <t>If CF0 = $250, then</t>
  </si>
  <si>
    <t>actually computes the sum of PV and not the NPV</t>
  </si>
  <si>
    <t>Summing cells C18:C23</t>
  </si>
  <si>
    <t>if you buy the series of five cash flows of 100 for 250, then you have gained 195.18 in wealth today</t>
  </si>
  <si>
    <t>COMPUTING THE VALUE OF AN ANNUITY</t>
  </si>
  <si>
    <t>Periodic payment, A</t>
  </si>
  <si>
    <t>Number of future periods paid, n</t>
  </si>
  <si>
    <t>Discount rate, r</t>
  </si>
  <si>
    <t>Present value of annuity</t>
  </si>
  <si>
    <t>Using formula</t>
  </si>
  <si>
    <t>Period</t>
  </si>
  <si>
    <t>Annuity Payment</t>
  </si>
  <si>
    <t>PV using Excel's NPV function</t>
  </si>
  <si>
    <t>COMPUTING THE VALUE OF A PERPETUITY</t>
  </si>
  <si>
    <t>PV OF GROWING ANNUITY</t>
  </si>
  <si>
    <t>PV OF GROWING PERPETUITY</t>
  </si>
  <si>
    <t>First payment, C</t>
  </si>
  <si>
    <t>Growth rate of payments, g</t>
  </si>
  <si>
    <t>PV of annuity</t>
  </si>
  <si>
    <t>Annuity payment</t>
  </si>
  <si>
    <t>Periodic payment, C</t>
  </si>
  <si>
    <t>PV of growing perpetuity (infinite annuity)</t>
  </si>
  <si>
    <t>THE GORDON FORMULA</t>
  </si>
  <si>
    <t>Valuing a stock by discounting its future anticipated  dividends at the cost of equity</t>
  </si>
  <si>
    <r>
      <t xml:space="preserve">The </t>
    </r>
    <r>
      <rPr>
        <b/>
        <sz val="11"/>
        <color theme="1"/>
        <rFont val="Calibri"/>
        <family val="2"/>
        <scheme val="minor"/>
      </rPr>
      <t>INTERNAL RATE OF RETURN (IRR)</t>
    </r>
  </si>
  <si>
    <t>is the compound rate of return r, which makes the NPV equal to 0</t>
  </si>
  <si>
    <t>IRR = r|NPV(r)=0</t>
  </si>
  <si>
    <t>Internal rate of return (IRR)</t>
  </si>
  <si>
    <t>USING THE IRR IN AN INVESTMENT TABLE</t>
  </si>
  <si>
    <t>Income</t>
  </si>
  <si>
    <t>Cash flow at end of year</t>
  </si>
  <si>
    <t>Investment at end of year</t>
  </si>
  <si>
    <t>Investment at beginning of year</t>
  </si>
  <si>
    <t>IRR?</t>
  </si>
  <si>
    <t>&lt;-- Using Data|What-if analysis | Goal seek</t>
  </si>
  <si>
    <t>the IRR is the interest rate that pays off an investment over its term</t>
  </si>
  <si>
    <t>Initial investment</t>
  </si>
  <si>
    <t>Periodic cash flow</t>
  </si>
  <si>
    <t>Number of payments</t>
  </si>
  <si>
    <t>IRR</t>
  </si>
  <si>
    <t>Multiple Internal Rates of Return</t>
  </si>
  <si>
    <t>NPV</t>
  </si>
  <si>
    <t>DATA TABLE</t>
  </si>
  <si>
    <t>First IRR</t>
  </si>
  <si>
    <t>Second IRR</t>
  </si>
  <si>
    <t>Suppose you purchase a bond having a 10% coupon, a face value of $1000, and 8 more years to maturity.</t>
  </si>
  <si>
    <t>Face value</t>
  </si>
  <si>
    <t>Coupon rate</t>
  </si>
  <si>
    <t>Years to maturity</t>
  </si>
  <si>
    <t>Periodic coupon payment, PMT</t>
  </si>
  <si>
    <t>Market price</t>
  </si>
  <si>
    <t>Investment Table</t>
  </si>
  <si>
    <t>beginning</t>
  </si>
  <si>
    <t>income</t>
  </si>
  <si>
    <t>cash flow</t>
  </si>
  <si>
    <t>end</t>
  </si>
  <si>
    <t>Confirming that we found the correct IRR</t>
  </si>
  <si>
    <t>Identifying the two IRRs</t>
  </si>
  <si>
    <t>NPV using IRR of 14.36%</t>
  </si>
  <si>
    <t>Flat Payment Schedules</t>
  </si>
  <si>
    <t>Loan principal</t>
  </si>
  <si>
    <t>Interest Payment</t>
  </si>
  <si>
    <t>Loan term</t>
  </si>
  <si>
    <t>Annual payment</t>
  </si>
  <si>
    <t>Principal at beginning of year</t>
  </si>
  <si>
    <t>Payment at end of year</t>
  </si>
  <si>
    <t>Interest</t>
  </si>
  <si>
    <t>Principal repayment</t>
  </si>
  <si>
    <t>Split payment into:</t>
  </si>
  <si>
    <t>The PV of the payments over the six years</t>
  </si>
  <si>
    <t>Deposit</t>
  </si>
  <si>
    <t>Number of periods</t>
  </si>
  <si>
    <t>Annual interest</t>
  </si>
  <si>
    <t>Value at the end of 10 years</t>
  </si>
  <si>
    <t>Using Excels FV function</t>
  </si>
  <si>
    <t>Annuity due</t>
  </si>
  <si>
    <t>Annual deposit</t>
  </si>
  <si>
    <t>Number of deposits</t>
  </si>
  <si>
    <t>&lt;= made today and at the beginning of each of the next 9 yrs</t>
  </si>
  <si>
    <t>FV</t>
  </si>
  <si>
    <t>Account balance, beginning of year</t>
  </si>
  <si>
    <t>Deposit at beginning of year</t>
  </si>
  <si>
    <t>Interest earned during the year</t>
  </si>
  <si>
    <t>Total in account, end of year</t>
  </si>
  <si>
    <t>Future value, FV</t>
  </si>
  <si>
    <t>A RETIREMENT PROBLEM</t>
  </si>
  <si>
    <t>Annual retirement withdrawal</t>
  </si>
  <si>
    <t>Interest earned during year</t>
  </si>
  <si>
    <t>&lt;= solved using goal seek</t>
  </si>
  <si>
    <t>PV of withdrawals at t= 5</t>
  </si>
  <si>
    <t>PV of withdrawals now</t>
  </si>
  <si>
    <t>CALCULATING RETURNS FROM PRICES</t>
  </si>
  <si>
    <t>Initial deposit</t>
  </si>
  <si>
    <t>End-of-year value</t>
  </si>
  <si>
    <t>Number of compounding periods</t>
  </si>
  <si>
    <t>Implied annual interest rate</t>
  </si>
  <si>
    <t>Continuous return</t>
  </si>
  <si>
    <t>IMPLIED ANNUAL RATE WITH n COMPOUNDING PERIODS</t>
  </si>
  <si>
    <t>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</si>
</sst>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£&quot;#,##0.00;[Red]\-&quot;£&quot;#,##0.00"/>
    <numFmt numFmtId="164" formatCode="0.0000000000%"/>
    <numFmt numFmtId="165" formatCode="0.000%"/>
    <numFmt numFmtId="166" formatCode="0.0000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4">
    <xf numFmtId="0" fontId="0" fillId="0" borderId="0" xfId="0"/>
    <xf numFmtId="9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8" fontId="0" fillId="0" borderId="0" xfId="0" applyNumberFormat="1"/>
    <xf numFmtId="164" fontId="0" fillId="0" borderId="0" xfId="0" applyNumberFormat="1"/>
    <xf numFmtId="10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/>
    <xf numFmtId="0" fontId="1" fillId="0" borderId="0" xfId="0" applyFont="1" applyAlignment="1">
      <alignment horizontal="center"/>
    </xf>
    <xf numFmtId="8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3" fontId="0" fillId="0" borderId="0" xfId="0" applyNumberForma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wrapText="1"/>
    </xf>
    <xf numFmtId="4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2">
    <dxf>
      <numFmt numFmtId="2" formatCode="0.00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'PV and NPV'!$E$134</c:f>
              <c:strCache>
                <c:ptCount val="1"/>
                <c:pt idx="0">
                  <c:v>NPV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'PV and NPV'!$D$135:$D$148</c:f>
              <c:numCache>
                <c:formatCode>0%</c:formatCode>
                <c:ptCount val="14"/>
                <c:pt idx="0">
                  <c:v>0</c:v>
                </c:pt>
                <c:pt idx="1">
                  <c:v>0.03</c:v>
                </c:pt>
                <c:pt idx="2">
                  <c:v>0.06</c:v>
                </c:pt>
                <c:pt idx="3">
                  <c:v>0.09</c:v>
                </c:pt>
                <c:pt idx="4">
                  <c:v>0.12</c:v>
                </c:pt>
                <c:pt idx="5">
                  <c:v>0.15</c:v>
                </c:pt>
                <c:pt idx="6">
                  <c:v>0.18</c:v>
                </c:pt>
                <c:pt idx="7">
                  <c:v>0.21</c:v>
                </c:pt>
                <c:pt idx="8">
                  <c:v>0.24</c:v>
                </c:pt>
                <c:pt idx="9">
                  <c:v>0.27</c:v>
                </c:pt>
                <c:pt idx="10">
                  <c:v>0.30000000000000004</c:v>
                </c:pt>
                <c:pt idx="11">
                  <c:v>0.33000000000000007</c:v>
                </c:pt>
                <c:pt idx="12">
                  <c:v>0.3600000000000001</c:v>
                </c:pt>
                <c:pt idx="13">
                  <c:v>0.39000000000000012</c:v>
                </c:pt>
              </c:numCache>
            </c:numRef>
          </c:xVal>
          <c:yVal>
            <c:numRef>
              <c:f>'PV and NPV'!$E$135:$E$148</c:f>
              <c:numCache>
                <c:formatCode>"£"#,##0.00_);[Red]\("£"#,##0.00\)</c:formatCode>
                <c:ptCount val="14"/>
                <c:pt idx="0">
                  <c:v>-20</c:v>
                </c:pt>
                <c:pt idx="1">
                  <c:v>-10.507575424608092</c:v>
                </c:pt>
                <c:pt idx="2">
                  <c:v>-3.9854362682000044</c:v>
                </c:pt>
                <c:pt idx="3">
                  <c:v>0.24085647329212634</c:v>
                </c:pt>
                <c:pt idx="4">
                  <c:v>2.6925493400257778</c:v>
                </c:pt>
                <c:pt idx="5">
                  <c:v>3.7742340642815009</c:v>
                </c:pt>
                <c:pt idx="6">
                  <c:v>3.8011460077677839</c:v>
                </c:pt>
                <c:pt idx="7">
                  <c:v>3.0197000689104811</c:v>
                </c:pt>
                <c:pt idx="8">
                  <c:v>1.6230390485557962</c:v>
                </c:pt>
                <c:pt idx="9">
                  <c:v>-0.237122901511583</c:v>
                </c:pt>
                <c:pt idx="10">
                  <c:v>-2.4414276595572915</c:v>
                </c:pt>
                <c:pt idx="11">
                  <c:v>-4.895886047904952</c:v>
                </c:pt>
                <c:pt idx="12">
                  <c:v>-7.5264699851815919</c:v>
                </c:pt>
                <c:pt idx="13">
                  <c:v>-10.274907341794687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F0-4392-81E5-934984DB4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649472"/>
        <c:axId val="658661472"/>
      </c:scatterChart>
      <c:valAx>
        <c:axId val="65864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661472"/>
        <c:crosses val="autoZero"/>
        <c:crossBetween val="midCat"/>
      </c:valAx>
      <c:valAx>
        <c:axId val="65866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_);[Red]\(&quot;£&quot;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649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'PV and NPV'!$E$166</c:f>
              <c:strCache>
                <c:ptCount val="1"/>
                <c:pt idx="0">
                  <c:v>NPV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'PV and NPV'!$D$167:$D$177</c:f>
              <c:numCache>
                <c:formatCode>0%</c:formatCode>
                <c:ptCount val="1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</c:numCache>
            </c:numRef>
          </c:xVal>
          <c:yVal>
            <c:numRef>
              <c:f>'PV and NPV'!$E$167:$E$177</c:f>
              <c:numCache>
                <c:formatCode>0.00</c:formatCode>
                <c:ptCount val="11"/>
                <c:pt idx="0">
                  <c:v>1000</c:v>
                </c:pt>
                <c:pt idx="1">
                  <c:v>786.03851523955382</c:v>
                </c:pt>
                <c:pt idx="2">
                  <c:v>603.96469249702341</c:v>
                </c:pt>
                <c:pt idx="3">
                  <c:v>448.39175243878162</c:v>
                </c:pt>
                <c:pt idx="4">
                  <c:v>314.93277887450563</c:v>
                </c:pt>
                <c:pt idx="5">
                  <c:v>199.99999999999955</c:v>
                </c:pt>
                <c:pt idx="6">
                  <c:v>100.64720466322774</c:v>
                </c:pt>
                <c:pt idx="7">
                  <c:v>14.445444243074121</c:v>
                </c:pt>
                <c:pt idx="8">
                  <c:v>-60.615453700742364</c:v>
                </c:pt>
                <c:pt idx="9">
                  <c:v>-126.20526056422</c:v>
                </c:pt>
                <c:pt idx="10">
                  <c:v>-183.71598031931103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97-4C32-A847-CDA4D4728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611552"/>
        <c:axId val="658608672"/>
      </c:scatterChart>
      <c:valAx>
        <c:axId val="65861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608672"/>
        <c:crosses val="autoZero"/>
        <c:crossBetween val="midCat"/>
      </c:valAx>
      <c:valAx>
        <c:axId val="65860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611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1104900</xdr:colOff>
      <xdr:row>141</xdr:row>
      <xdr:rowOff>176212</xdr:rowOff>
    </xdr:from>
    <xdr:to>
      <xdr:col>2</xdr:col>
      <xdr:colOff>1571625</xdr:colOff>
      <xdr:row>152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C8CAB8-D546-03FF-F13B-F6CE80CCE7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1314450</xdr:colOff>
      <xdr:row>176</xdr:row>
      <xdr:rowOff>38099</xdr:rowOff>
    </xdr:from>
    <xdr:to>
      <xdr:col>3</xdr:col>
      <xdr:colOff>4762</xdr:colOff>
      <xdr:row>186</xdr:row>
      <xdr:rowOff>147636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6B5E090-EFB5-5E64-6F6A-0349480D2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7C4B48-16DC-4BB0-A151-5E7F8240BF7E}" name="Table1" displayName="Table1" ref="D134:E148" totalsRowShown="0">
  <autoFilter ref="D134:E148" xr:uid="{217C4B48-16DC-4BB0-A151-5E7F8240BF7E}"/>
  <tableColumns count="2">
    <tableColumn id="1" xr3:uid="{6A950AAB-3537-42A1-9697-B4BE2896D4F6}" name="Discount rate"/>
    <tableColumn id="2" xr3:uid="{42028A03-5A94-43DD-A319-6E132F8697CC}" name="NPV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44D853-784F-4B81-BFBE-B511C13F9223}" name="Table2" displayName="Table2" ref="D166:E177" totalsRowShown="0">
  <autoFilter ref="D166:E177" xr:uid="{A144D853-784F-4B81-BFBE-B511C13F9223}"/>
  <tableColumns count="2">
    <tableColumn id="1" xr3:uid="{6D7842C3-AE90-41D4-9422-74BF5BFE2249}" name="Discount rate" dataDxfId="1">
      <calculatedColumnFormula>D166+0.02</calculatedColumnFormula>
    </tableColumn>
    <tableColumn id="2" xr3:uid="{163E1909-BBFD-4365-95B1-9BD64235F7C6}" name="NPV" dataDxfId="0">
      <calculatedColumnFormula>NPV(D167,$B$169:$B$176)+$B$168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50364-994C-4E50-80A9-C9A4DB18B943}">
  <sheetPr codeName="Sheet1"/>
  <dimension ref="A2:C8"/>
  <sheetViews>
    <sheetView workbookViewId="0">
      <selection activeCell="C9" sqref="C9"/>
    </sheetView>
  </sheetViews>
  <sheetFormatPr defaultRowHeight="15" x14ac:dyDescent="0.25"/>
  <cols>
    <col min="2" max="2" width="11" customWidth="1"/>
    <col min="3" max="3" width="24.7109375" customWidth="1"/>
  </cols>
  <sheetData>
    <row r="2" spans="1:3" x14ac:dyDescent="0.25">
      <c r="A2" t="s">
        <v>0</v>
      </c>
      <c r="B2" t="s">
        <v>1</v>
      </c>
    </row>
    <row r="3" spans="1:3" x14ac:dyDescent="0.25">
      <c r="A3" t="s">
        <v>2</v>
      </c>
      <c r="B3">
        <v>5</v>
      </c>
    </row>
    <row r="4" spans="1:3" x14ac:dyDescent="0.25">
      <c r="A4" t="s">
        <v>3</v>
      </c>
      <c r="B4">
        <v>6</v>
      </c>
    </row>
    <row r="5" spans="1:3" x14ac:dyDescent="0.25">
      <c r="A5" t="s">
        <v>4</v>
      </c>
      <c r="B5">
        <v>8</v>
      </c>
    </row>
    <row r="6" spans="1:3" x14ac:dyDescent="0.25">
      <c r="A6" t="s">
        <v>5</v>
      </c>
      <c r="B6">
        <v>9</v>
      </c>
    </row>
    <row r="7" spans="1:3" x14ac:dyDescent="0.25">
      <c r="A7" t="s">
        <v>6</v>
      </c>
      <c r="B7">
        <f>AVERAGE(B3:B6)</f>
        <v>7</v>
      </c>
      <c r="C7" t="str" cm="1">
        <f t="array" aca="1" ref="C7" ca="1">getformula(B7)</f>
        <v>&lt;-- =AVERAGE(B3:B6)</v>
      </c>
    </row>
    <row r="8" spans="1:3" x14ac:dyDescent="0.25">
      <c r="A8" t="s">
        <v>7</v>
      </c>
      <c r="B8">
        <f>SUM(B3:B7)</f>
        <v>35</v>
      </c>
      <c r="C8" t="str" cm="1">
        <f t="array" aca="1" ref="C8" ca="1">getformula(B8)</f>
        <v>&lt;-- =SUM(B3:B7)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25AF-A85A-418F-98D9-9A30B7369D98}">
  <sheetPr codeName="Sheet2"/>
  <dimension ref="A1:L213"/>
  <sheetViews>
    <sheetView topLeftCell="A179" workbookViewId="0">
      <selection activeCell="C214" sqref="C214"/>
    </sheetView>
  </sheetViews>
  <sheetFormatPr defaultRowHeight="15" x14ac:dyDescent="0.25"/>
  <cols>
    <col min="1" max="1" width="34.28515625" customWidth="1"/>
    <col min="2" max="2" width="25.7109375" customWidth="1"/>
    <col min="3" max="3" width="24.42578125" customWidth="1"/>
    <col min="4" max="4" width="21.140625" customWidth="1"/>
    <col min="5" max="5" width="19.28515625" customWidth="1"/>
    <col min="7" max="7" width="9.42578125" customWidth="1"/>
    <col min="8" max="8" width="10.28515625" bestFit="1" customWidth="1"/>
    <col min="9" max="9" width="9.28515625" bestFit="1" customWidth="1"/>
    <col min="12" max="12" width="10.140625" bestFit="1" customWidth="1"/>
  </cols>
  <sheetData>
    <row r="1" spans="1:5" x14ac:dyDescent="0.25">
      <c r="A1" s="2" t="s">
        <v>15</v>
      </c>
    </row>
    <row r="2" spans="1:5" x14ac:dyDescent="0.25">
      <c r="A2" t="s">
        <v>8</v>
      </c>
      <c r="B2" s="1">
        <v>0.04</v>
      </c>
    </row>
    <row r="3" spans="1:5" x14ac:dyDescent="0.25">
      <c r="A3" s="3" t="s">
        <v>9</v>
      </c>
      <c r="B3" s="2" t="s">
        <v>10</v>
      </c>
      <c r="C3" s="2" t="s">
        <v>11</v>
      </c>
    </row>
    <row r="4" spans="1:5" x14ac:dyDescent="0.25">
      <c r="A4" s="4">
        <v>0</v>
      </c>
    </row>
    <row r="5" spans="1:5" x14ac:dyDescent="0.25">
      <c r="A5" s="4">
        <v>1</v>
      </c>
      <c r="B5">
        <v>100</v>
      </c>
      <c r="C5" s="5">
        <f>B5/(1+$B$2)^A5</f>
        <v>96.153846153846146</v>
      </c>
      <c r="D5" t="str" cm="1">
        <f t="array" aca="1" ref="D5" ca="1">getformula(C5)</f>
        <v>&lt;-- =B5/(1+$B$2)^A5</v>
      </c>
    </row>
    <row r="6" spans="1:5" x14ac:dyDescent="0.25">
      <c r="A6" s="4">
        <v>2</v>
      </c>
      <c r="B6">
        <v>100</v>
      </c>
      <c r="C6" s="5">
        <f t="shared" ref="C6:C9" si="0">B6/(1+$B$2)^A6</f>
        <v>92.455621301775139</v>
      </c>
      <c r="D6" t="str" cm="1">
        <f t="array" aca="1" ref="D6" ca="1">getformula(C6)</f>
        <v>&lt;-- =B6/(1+$B$2)^A6</v>
      </c>
    </row>
    <row r="7" spans="1:5" x14ac:dyDescent="0.25">
      <c r="A7" s="4">
        <v>3</v>
      </c>
      <c r="B7">
        <v>100</v>
      </c>
      <c r="C7" s="5">
        <f t="shared" si="0"/>
        <v>88.899635867091476</v>
      </c>
      <c r="D7" t="str" cm="1">
        <f t="array" aca="1" ref="D7" ca="1">getformula(C7)</f>
        <v>&lt;-- =B7/(1+$B$2)^A7</v>
      </c>
    </row>
    <row r="8" spans="1:5" x14ac:dyDescent="0.25">
      <c r="A8" s="4">
        <v>4</v>
      </c>
      <c r="B8">
        <v>100</v>
      </c>
      <c r="C8" s="5">
        <f t="shared" si="0"/>
        <v>85.480419102972576</v>
      </c>
      <c r="D8" t="str" cm="1">
        <f t="array" aca="1" ref="D8" ca="1">getformula(C8)</f>
        <v>&lt;-- =B8/(1+$B$2)^A8</v>
      </c>
    </row>
    <row r="9" spans="1:5" x14ac:dyDescent="0.25">
      <c r="A9" s="4">
        <v>5</v>
      </c>
      <c r="B9">
        <v>100</v>
      </c>
      <c r="C9" s="5">
        <f t="shared" si="0"/>
        <v>82.19271067593516</v>
      </c>
      <c r="D9" t="str" cm="1">
        <f t="array" aca="1" ref="D9" ca="1">getformula(C9)</f>
        <v>&lt;-- =B9/(1+$B$2)^A9</v>
      </c>
    </row>
    <row r="11" spans="1:5" x14ac:dyDescent="0.25">
      <c r="A11" t="s">
        <v>18</v>
      </c>
      <c r="C11" s="5">
        <f>SUM(C5:C9)</f>
        <v>445.18223310162045</v>
      </c>
      <c r="D11" t="str" cm="1">
        <f t="array" aca="1" ref="D11" ca="1">getformula(C11)</f>
        <v>&lt;-- =SUM(C5:C9)</v>
      </c>
    </row>
    <row r="12" spans="1:5" x14ac:dyDescent="0.25">
      <c r="A12" t="s">
        <v>12</v>
      </c>
      <c r="C12" s="5">
        <f>NPV(B2,B5:B9)</f>
        <v>445.18223310162051</v>
      </c>
      <c r="D12" t="str" cm="1">
        <f t="array" aca="1" ref="D12" ca="1">getformula(C12)</f>
        <v>&lt;-- =NPV(B2,B5:B9)</v>
      </c>
      <c r="E12" t="s">
        <v>20</v>
      </c>
    </row>
    <row r="13" spans="1:5" x14ac:dyDescent="0.25">
      <c r="A13" t="s">
        <v>13</v>
      </c>
      <c r="C13" s="5">
        <f>PV(B2,5,-100)</f>
        <v>445.18223310162108</v>
      </c>
      <c r="D13" t="str" cm="1">
        <f t="array" aca="1" ref="D13" ca="1">getformula(C13)</f>
        <v>&lt;-- =PV(B2,5,-100)</v>
      </c>
      <c r="E13" t="s">
        <v>14</v>
      </c>
    </row>
    <row r="14" spans="1:5" x14ac:dyDescent="0.25">
      <c r="C14" s="5"/>
    </row>
    <row r="15" spans="1:5" x14ac:dyDescent="0.25">
      <c r="A15" t="s">
        <v>19</v>
      </c>
    </row>
    <row r="16" spans="1:5" x14ac:dyDescent="0.25">
      <c r="A16" t="s">
        <v>8</v>
      </c>
      <c r="B16" s="1">
        <v>0.04</v>
      </c>
    </row>
    <row r="17" spans="1:4" x14ac:dyDescent="0.25">
      <c r="A17" s="3" t="s">
        <v>9</v>
      </c>
      <c r="B17" s="2" t="s">
        <v>10</v>
      </c>
      <c r="C17" s="2" t="s">
        <v>11</v>
      </c>
    </row>
    <row r="18" spans="1:4" x14ac:dyDescent="0.25">
      <c r="A18" s="4">
        <v>0</v>
      </c>
      <c r="B18">
        <v>-250</v>
      </c>
      <c r="C18">
        <f>B18/(1+$B$2)^A18</f>
        <v>-250</v>
      </c>
      <c r="D18" t="str" cm="1">
        <f t="array" aca="1" ref="D18" ca="1">getformula(C18)</f>
        <v>&lt;-- =B18/(1+$B$2)^A18</v>
      </c>
    </row>
    <row r="19" spans="1:4" x14ac:dyDescent="0.25">
      <c r="A19" s="4">
        <v>1</v>
      </c>
      <c r="B19">
        <v>100</v>
      </c>
      <c r="C19" s="5">
        <f>B19/(1+$B$2)^A19</f>
        <v>96.153846153846146</v>
      </c>
      <c r="D19" t="str" cm="1">
        <f t="array" aca="1" ref="D19" ca="1">getformula(C19)</f>
        <v>&lt;-- =B19/(1+$B$2)^A19</v>
      </c>
    </row>
    <row r="20" spans="1:4" x14ac:dyDescent="0.25">
      <c r="A20" s="4">
        <v>2</v>
      </c>
      <c r="B20">
        <v>100</v>
      </c>
      <c r="C20" s="5">
        <f t="shared" ref="C20:C23" si="1">B20/(1+$B$2)^A20</f>
        <v>92.455621301775139</v>
      </c>
      <c r="D20" t="str" cm="1">
        <f t="array" aca="1" ref="D20" ca="1">getformula(C20)</f>
        <v>&lt;-- =B20/(1+$B$2)^A20</v>
      </c>
    </row>
    <row r="21" spans="1:4" x14ac:dyDescent="0.25">
      <c r="A21" s="4">
        <v>3</v>
      </c>
      <c r="B21">
        <v>100</v>
      </c>
      <c r="C21" s="5">
        <f t="shared" si="1"/>
        <v>88.899635867091476</v>
      </c>
      <c r="D21" t="str" cm="1">
        <f t="array" aca="1" ref="D21" ca="1">getformula(C21)</f>
        <v>&lt;-- =B21/(1+$B$2)^A21</v>
      </c>
    </row>
    <row r="22" spans="1:4" x14ac:dyDescent="0.25">
      <c r="A22" s="4">
        <v>4</v>
      </c>
      <c r="B22">
        <v>100</v>
      </c>
      <c r="C22" s="5">
        <f t="shared" si="1"/>
        <v>85.480419102972576</v>
      </c>
      <c r="D22" t="str" cm="1">
        <f t="array" aca="1" ref="D22" ca="1">getformula(C22)</f>
        <v>&lt;-- =B22/(1+$B$2)^A22</v>
      </c>
    </row>
    <row r="23" spans="1:4" x14ac:dyDescent="0.25">
      <c r="A23" s="4">
        <v>5</v>
      </c>
      <c r="B23">
        <v>100</v>
      </c>
      <c r="C23" s="5">
        <f t="shared" si="1"/>
        <v>82.19271067593516</v>
      </c>
      <c r="D23" t="str" cm="1">
        <f t="array" aca="1" ref="D23" ca="1">getformula(C23)</f>
        <v>&lt;-- =B23/(1+$B$2)^A23</v>
      </c>
    </row>
    <row r="25" spans="1:4" x14ac:dyDescent="0.25">
      <c r="A25" t="s">
        <v>17</v>
      </c>
      <c r="C25" s="5"/>
    </row>
    <row r="26" spans="1:4" x14ac:dyDescent="0.25">
      <c r="A26" t="s">
        <v>21</v>
      </c>
      <c r="B26" s="5">
        <f>SUM(C18:C23)</f>
        <v>195.18223310162048</v>
      </c>
      <c r="C26" s="5" t="str" cm="1">
        <f t="array" aca="1" ref="C26" ca="1">getformula(B26)</f>
        <v>&lt;-- =SUM(C18:C23)</v>
      </c>
    </row>
    <row r="27" spans="1:4" x14ac:dyDescent="0.25">
      <c r="A27" t="s">
        <v>12</v>
      </c>
      <c r="B27" s="5">
        <f>B18+NPV(B16,B19:B23)</f>
        <v>195.18223310162051</v>
      </c>
      <c r="C27" s="5" t="str" cm="1">
        <f t="array" aca="1" ref="C27" ca="1">getformula(B27)</f>
        <v>&lt;-- =B18+NPV(B16,B19:B23)</v>
      </c>
    </row>
    <row r="28" spans="1:4" x14ac:dyDescent="0.25">
      <c r="A28" t="s">
        <v>22</v>
      </c>
      <c r="B28" s="5"/>
      <c r="C28" s="5"/>
    </row>
    <row r="29" spans="1:4" x14ac:dyDescent="0.25">
      <c r="C29" s="6"/>
    </row>
    <row r="30" spans="1:4" x14ac:dyDescent="0.25">
      <c r="A30" s="2" t="s">
        <v>16</v>
      </c>
    </row>
    <row r="31" spans="1:4" x14ac:dyDescent="0.25">
      <c r="A31" t="s">
        <v>8</v>
      </c>
      <c r="B31" s="1">
        <v>0.04</v>
      </c>
    </row>
    <row r="32" spans="1:4" x14ac:dyDescent="0.25">
      <c r="A32" s="3" t="s">
        <v>9</v>
      </c>
      <c r="B32" s="2" t="s">
        <v>10</v>
      </c>
      <c r="C32" s="2" t="s">
        <v>11</v>
      </c>
    </row>
    <row r="33" spans="1:4" x14ac:dyDescent="0.25">
      <c r="A33" s="4">
        <v>0</v>
      </c>
    </row>
    <row r="34" spans="1:4" x14ac:dyDescent="0.25">
      <c r="A34" s="4">
        <v>1</v>
      </c>
      <c r="B34">
        <v>100</v>
      </c>
      <c r="C34" s="5">
        <f>B34/(1+$B$2)^A34</f>
        <v>96.153846153846146</v>
      </c>
      <c r="D34" t="str" cm="1">
        <f t="array" aca="1" ref="D34" ca="1">getformula(C34)</f>
        <v>&lt;-- =B34/(1+$B$2)^A34</v>
      </c>
    </row>
    <row r="35" spans="1:4" x14ac:dyDescent="0.25">
      <c r="A35" s="4">
        <v>2</v>
      </c>
      <c r="B35">
        <v>200</v>
      </c>
      <c r="C35" s="5">
        <f t="shared" ref="C35:C38" si="2">B35/(1+$B$2)^A35</f>
        <v>184.91124260355028</v>
      </c>
      <c r="D35" t="str" cm="1">
        <f t="array" aca="1" ref="D35" ca="1">getformula(C35)</f>
        <v>&lt;-- =B35/(1+$B$2)^A35</v>
      </c>
    </row>
    <row r="36" spans="1:4" x14ac:dyDescent="0.25">
      <c r="A36" s="4">
        <v>3</v>
      </c>
      <c r="B36">
        <v>300</v>
      </c>
      <c r="C36" s="5">
        <f t="shared" si="2"/>
        <v>266.69890760127447</v>
      </c>
      <c r="D36" t="str" cm="1">
        <f t="array" aca="1" ref="D36" ca="1">getformula(C36)</f>
        <v>&lt;-- =B36/(1+$B$2)^A36</v>
      </c>
    </row>
    <row r="37" spans="1:4" x14ac:dyDescent="0.25">
      <c r="A37" s="4">
        <v>4</v>
      </c>
      <c r="B37">
        <v>400</v>
      </c>
      <c r="C37" s="5">
        <f t="shared" si="2"/>
        <v>341.9216764118903</v>
      </c>
      <c r="D37" t="str" cm="1">
        <f t="array" aca="1" ref="D37" ca="1">getformula(C37)</f>
        <v>&lt;-- =B37/(1+$B$2)^A37</v>
      </c>
    </row>
    <row r="38" spans="1:4" x14ac:dyDescent="0.25">
      <c r="A38" s="4">
        <v>5</v>
      </c>
      <c r="B38">
        <v>500</v>
      </c>
      <c r="C38" s="5">
        <f t="shared" si="2"/>
        <v>410.96355337967577</v>
      </c>
      <c r="D38" t="str" cm="1">
        <f t="array" aca="1" ref="D38" ca="1">getformula(C38)</f>
        <v>&lt;-- =B38/(1+$B$2)^A38</v>
      </c>
    </row>
    <row r="39" spans="1:4" x14ac:dyDescent="0.25">
      <c r="B39" s="4"/>
      <c r="D39" s="5"/>
    </row>
    <row r="40" spans="1:4" x14ac:dyDescent="0.25">
      <c r="A40" t="s">
        <v>18</v>
      </c>
      <c r="B40" s="4"/>
      <c r="C40" s="5">
        <f>SUM(C34:C38)</f>
        <v>1300.6492261502372</v>
      </c>
      <c r="D40" s="5" t="str" cm="1">
        <f t="array" aca="1" ref="D40" ca="1">getformula(C40)</f>
        <v>&lt;-- =SUM(C34:C38)</v>
      </c>
    </row>
    <row r="41" spans="1:4" x14ac:dyDescent="0.25">
      <c r="A41" t="s">
        <v>12</v>
      </c>
      <c r="B41" s="4"/>
      <c r="C41" s="5">
        <f>NPV(B31,B34:B38)</f>
        <v>1300.6492261502369</v>
      </c>
      <c r="D41" s="5" t="str" cm="1">
        <f t="array" aca="1" ref="D41" ca="1">getformula(C41)</f>
        <v>&lt;-- =NPV(B31,B34:B38)</v>
      </c>
    </row>
    <row r="44" spans="1:4" x14ac:dyDescent="0.25">
      <c r="A44" s="2" t="s">
        <v>23</v>
      </c>
    </row>
    <row r="45" spans="1:4" x14ac:dyDescent="0.25">
      <c r="A45" t="s">
        <v>24</v>
      </c>
      <c r="B45">
        <v>1000</v>
      </c>
    </row>
    <row r="46" spans="1:4" x14ac:dyDescent="0.25">
      <c r="A46" t="s">
        <v>25</v>
      </c>
      <c r="B46">
        <v>5</v>
      </c>
    </row>
    <row r="47" spans="1:4" x14ac:dyDescent="0.25">
      <c r="A47" t="s">
        <v>26</v>
      </c>
      <c r="B47" s="1">
        <v>0.06</v>
      </c>
    </row>
    <row r="48" spans="1:4" x14ac:dyDescent="0.25">
      <c r="A48" s="2" t="s">
        <v>27</v>
      </c>
    </row>
    <row r="49" spans="1:3" x14ac:dyDescent="0.25">
      <c r="A49" t="s">
        <v>28</v>
      </c>
      <c r="B49" s="5">
        <f>B45*((1-(1+B47)^-B46)/B47)</f>
        <v>4212.3637855657189</v>
      </c>
      <c r="C49" t="str" cm="1">
        <f t="array" aca="1" ref="C49" ca="1">getformula(B49)</f>
        <v>&lt;-- =B45*((1-(1+B47)^-B46)/B47)</v>
      </c>
    </row>
    <row r="50" spans="1:3" x14ac:dyDescent="0.25">
      <c r="A50" t="s">
        <v>13</v>
      </c>
      <c r="B50" s="5">
        <f>PV(B47,B46,-B45)</f>
        <v>4212.363785565718</v>
      </c>
      <c r="C50" t="str" cm="1">
        <f t="array" aca="1" ref="C50" ca="1">getformula(B50)</f>
        <v>&lt;-- =PV(B47,B46,-B45)</v>
      </c>
    </row>
    <row r="52" spans="1:3" x14ac:dyDescent="0.25">
      <c r="A52" s="3" t="s">
        <v>29</v>
      </c>
      <c r="B52" s="3" t="s">
        <v>30</v>
      </c>
    </row>
    <row r="53" spans="1:3" x14ac:dyDescent="0.25">
      <c r="A53" s="4">
        <v>0</v>
      </c>
    </row>
    <row r="54" spans="1:3" x14ac:dyDescent="0.25">
      <c r="A54" s="4">
        <v>1</v>
      </c>
      <c r="B54">
        <f>$B$45</f>
        <v>1000</v>
      </c>
      <c r="C54" t="str" cm="1">
        <f t="array" aca="1" ref="C54" ca="1">getformula(B54)</f>
        <v>&lt;-- =$B$45</v>
      </c>
    </row>
    <row r="55" spans="1:3" x14ac:dyDescent="0.25">
      <c r="A55" s="4">
        <v>2</v>
      </c>
      <c r="B55">
        <f t="shared" ref="B55:B58" si="3">$B$45</f>
        <v>1000</v>
      </c>
    </row>
    <row r="56" spans="1:3" x14ac:dyDescent="0.25">
      <c r="A56" s="4">
        <v>3</v>
      </c>
      <c r="B56">
        <f t="shared" si="3"/>
        <v>1000</v>
      </c>
    </row>
    <row r="57" spans="1:3" x14ac:dyDescent="0.25">
      <c r="A57" s="4">
        <v>4</v>
      </c>
      <c r="B57">
        <f t="shared" si="3"/>
        <v>1000</v>
      </c>
    </row>
    <row r="58" spans="1:3" x14ac:dyDescent="0.25">
      <c r="A58" s="4">
        <v>5</v>
      </c>
      <c r="B58">
        <f t="shared" si="3"/>
        <v>1000</v>
      </c>
    </row>
    <row r="59" spans="1:3" x14ac:dyDescent="0.25">
      <c r="A59" s="4" t="s">
        <v>31</v>
      </c>
      <c r="B59" s="5">
        <f>NPV(B47,B54:B58)</f>
        <v>4212.3637855657134</v>
      </c>
      <c r="C59" t="str" cm="1">
        <f t="array" aca="1" ref="C59" ca="1">getformula(B59)</f>
        <v>&lt;-- =NPV(B47,B54:B58)</v>
      </c>
    </row>
    <row r="62" spans="1:3" x14ac:dyDescent="0.25">
      <c r="A62" s="2" t="s">
        <v>32</v>
      </c>
    </row>
    <row r="63" spans="1:3" x14ac:dyDescent="0.25">
      <c r="A63" t="s">
        <v>24</v>
      </c>
      <c r="B63">
        <v>1000</v>
      </c>
    </row>
    <row r="64" spans="1:3" x14ac:dyDescent="0.25">
      <c r="A64" t="s">
        <v>26</v>
      </c>
      <c r="B64" s="1">
        <v>0.06</v>
      </c>
    </row>
    <row r="65" spans="1:7" x14ac:dyDescent="0.25">
      <c r="A65" s="2" t="s">
        <v>27</v>
      </c>
      <c r="B65" s="5">
        <f>B63/B64</f>
        <v>16666.666666666668</v>
      </c>
      <c r="C65" t="str" cm="1">
        <f t="array" aca="1" ref="C65" ca="1">getformula(B65)</f>
        <v>&lt;-- =B63/B64</v>
      </c>
    </row>
    <row r="68" spans="1:7" x14ac:dyDescent="0.25">
      <c r="A68" s="2" t="s">
        <v>33</v>
      </c>
    </row>
    <row r="69" spans="1:7" x14ac:dyDescent="0.25">
      <c r="A69" t="s">
        <v>35</v>
      </c>
      <c r="B69">
        <v>1000</v>
      </c>
    </row>
    <row r="70" spans="1:7" x14ac:dyDescent="0.25">
      <c r="A70" t="s">
        <v>36</v>
      </c>
      <c r="B70" s="1">
        <v>0.03</v>
      </c>
    </row>
    <row r="71" spans="1:7" x14ac:dyDescent="0.25">
      <c r="A71" t="s">
        <v>25</v>
      </c>
      <c r="B71">
        <v>5</v>
      </c>
    </row>
    <row r="72" spans="1:7" x14ac:dyDescent="0.25">
      <c r="A72" t="s">
        <v>26</v>
      </c>
      <c r="B72" s="1">
        <v>0.06</v>
      </c>
    </row>
    <row r="73" spans="1:7" x14ac:dyDescent="0.25">
      <c r="A73" t="s">
        <v>37</v>
      </c>
    </row>
    <row r="74" spans="1:7" x14ac:dyDescent="0.25">
      <c r="A74" t="s">
        <v>28</v>
      </c>
      <c r="B74" s="5">
        <f>B69*(1-((1+B70)/(1+B72))^B71)/(B72-B70)</f>
        <v>4457.4324462530703</v>
      </c>
      <c r="C74" t="str" cm="1">
        <f t="array" aca="1" ref="C74" ca="1">getformula(B74)</f>
        <v>&lt;-- =B69*(1-((1+B70)/(1+B72))^B71)/(B72-B70)</v>
      </c>
    </row>
    <row r="76" spans="1:7" x14ac:dyDescent="0.25">
      <c r="A76" s="3" t="s">
        <v>29</v>
      </c>
      <c r="B76" s="2" t="s">
        <v>38</v>
      </c>
    </row>
    <row r="77" spans="1:7" x14ac:dyDescent="0.25">
      <c r="A77" s="4">
        <v>0</v>
      </c>
    </row>
    <row r="78" spans="1:7" x14ac:dyDescent="0.25">
      <c r="A78" s="4">
        <v>1</v>
      </c>
      <c r="B78" s="5">
        <v>1000</v>
      </c>
      <c r="C78" t="str" cm="1">
        <f t="array" aca="1" ref="C78" ca="1">getformula(B78)</f>
        <v>&lt;-- 1000</v>
      </c>
      <c r="E78">
        <f>$B$69*(1+$B$70)^A77</f>
        <v>1000</v>
      </c>
      <c r="G78">
        <v>1000</v>
      </c>
    </row>
    <row r="79" spans="1:7" x14ac:dyDescent="0.25">
      <c r="A79" s="4">
        <v>2</v>
      </c>
      <c r="B79" s="5">
        <f>$B$69*(1+$B$70)^(A79-$A$78)</f>
        <v>1030</v>
      </c>
      <c r="C79" t="str" cm="1">
        <f t="array" aca="1" ref="C79" ca="1">getformula(B79)</f>
        <v>&lt;-- =$B$69*(1+$B$70)^(A79-$A$78)</v>
      </c>
      <c r="E79">
        <f>$B$69*(1+$B$70)^A78</f>
        <v>1030</v>
      </c>
      <c r="G79">
        <f>G78*(1+$B$70)^(A79-A78)</f>
        <v>1030</v>
      </c>
    </row>
    <row r="80" spans="1:7" x14ac:dyDescent="0.25">
      <c r="A80" s="4">
        <v>3</v>
      </c>
      <c r="B80" s="5">
        <f t="shared" ref="B80:B82" si="4">$B$69*(1+$B$70)^(A80-$A$78)</f>
        <v>1060.8999999999999</v>
      </c>
      <c r="C80" t="str" cm="1">
        <f t="array" aca="1" ref="C80" ca="1">getformula(B80)</f>
        <v>&lt;-- =$B$69*(1+$B$70)^(A80-$A$78)</v>
      </c>
      <c r="E80">
        <f>$B$69*(1+$B$70)^A79</f>
        <v>1060.8999999999999</v>
      </c>
      <c r="G80">
        <f t="shared" ref="G80:G82" si="5">G79*(1+$B$70)^(A80-A79)</f>
        <v>1060.9000000000001</v>
      </c>
    </row>
    <row r="81" spans="1:7" x14ac:dyDescent="0.25">
      <c r="A81" s="4">
        <v>4</v>
      </c>
      <c r="B81" s="5">
        <f t="shared" si="4"/>
        <v>1092.7270000000001</v>
      </c>
      <c r="C81" t="str" cm="1">
        <f t="array" aca="1" ref="C81" ca="1">getformula(B81)</f>
        <v>&lt;-- =$B$69*(1+$B$70)^(A81-$A$78)</v>
      </c>
      <c r="E81">
        <f>$B$69*(1+$B$70)^A80</f>
        <v>1092.7270000000001</v>
      </c>
      <c r="G81">
        <f t="shared" si="5"/>
        <v>1092.7270000000001</v>
      </c>
    </row>
    <row r="82" spans="1:7" x14ac:dyDescent="0.25">
      <c r="A82" s="4">
        <v>5</v>
      </c>
      <c r="B82" s="5">
        <f t="shared" si="4"/>
        <v>1125.5088099999998</v>
      </c>
      <c r="C82" t="str" cm="1">
        <f t="array" aca="1" ref="C82" ca="1">getformula(B82)</f>
        <v>&lt;-- =$B$69*(1+$B$70)^(A82-$A$78)</v>
      </c>
      <c r="E82">
        <f>$B$69*(1+$B$70)^A81</f>
        <v>1125.5088099999998</v>
      </c>
      <c r="G82">
        <f t="shared" si="5"/>
        <v>1125.50881</v>
      </c>
    </row>
    <row r="83" spans="1:7" x14ac:dyDescent="0.25">
      <c r="A83" s="4"/>
    </row>
    <row r="84" spans="1:7" x14ac:dyDescent="0.25">
      <c r="A84" s="4" t="s">
        <v>31</v>
      </c>
      <c r="B84" s="5">
        <f>NPV(B72,B78:B82)</f>
        <v>4457.4324462530722</v>
      </c>
      <c r="C84" t="str" cm="1">
        <f t="array" aca="1" ref="C84" ca="1">getformula(B84)</f>
        <v>&lt;-- =NPV(B72,B78:B82)</v>
      </c>
    </row>
    <row r="87" spans="1:7" x14ac:dyDescent="0.25">
      <c r="A87" s="2" t="s">
        <v>34</v>
      </c>
    </row>
    <row r="88" spans="1:7" x14ac:dyDescent="0.25">
      <c r="A88" t="s">
        <v>39</v>
      </c>
      <c r="B88">
        <v>1000</v>
      </c>
    </row>
    <row r="89" spans="1:7" x14ac:dyDescent="0.25">
      <c r="A89" t="s">
        <v>36</v>
      </c>
      <c r="B89" s="1">
        <v>0.03</v>
      </c>
    </row>
    <row r="90" spans="1:7" x14ac:dyDescent="0.25">
      <c r="A90" t="s">
        <v>26</v>
      </c>
      <c r="B90" s="1">
        <v>0.06</v>
      </c>
    </row>
    <row r="91" spans="1:7" x14ac:dyDescent="0.25">
      <c r="A91" t="s">
        <v>40</v>
      </c>
      <c r="B91" s="5">
        <f>IF(B89&lt;B90,B88/(B90-B89),"NA")</f>
        <v>33333.333333333336</v>
      </c>
      <c r="C91" t="str" cm="1">
        <f t="array" aca="1" ref="C91" ca="1">getformula(B91)</f>
        <v>&lt;-- =IF(B89&lt;B90,B88/(B90-B89),"NA")</v>
      </c>
    </row>
    <row r="92" spans="1:7" x14ac:dyDescent="0.25">
      <c r="B92" s="7"/>
    </row>
    <row r="94" spans="1:7" x14ac:dyDescent="0.25">
      <c r="A94" s="2" t="s">
        <v>41</v>
      </c>
    </row>
    <row r="95" spans="1:7" x14ac:dyDescent="0.25">
      <c r="A95" t="s">
        <v>42</v>
      </c>
    </row>
    <row r="98" spans="1:3" x14ac:dyDescent="0.25">
      <c r="A98" t="s">
        <v>43</v>
      </c>
    </row>
    <row r="99" spans="1:3" x14ac:dyDescent="0.25">
      <c r="A99" t="s">
        <v>44</v>
      </c>
    </row>
    <row r="100" spans="1:3" x14ac:dyDescent="0.25">
      <c r="A100" t="s">
        <v>45</v>
      </c>
    </row>
    <row r="102" spans="1:3" x14ac:dyDescent="0.25">
      <c r="A102" s="4" t="s">
        <v>9</v>
      </c>
      <c r="B102" t="s">
        <v>10</v>
      </c>
    </row>
    <row r="103" spans="1:3" x14ac:dyDescent="0.25">
      <c r="A103" s="4">
        <v>0</v>
      </c>
      <c r="B103">
        <v>-800</v>
      </c>
    </row>
    <row r="104" spans="1:3" x14ac:dyDescent="0.25">
      <c r="A104" s="4">
        <v>1</v>
      </c>
      <c r="B104">
        <v>100</v>
      </c>
    </row>
    <row r="105" spans="1:3" x14ac:dyDescent="0.25">
      <c r="A105" s="4">
        <v>2</v>
      </c>
      <c r="B105">
        <v>200</v>
      </c>
    </row>
    <row r="106" spans="1:3" x14ac:dyDescent="0.25">
      <c r="A106" s="4">
        <v>3</v>
      </c>
      <c r="B106">
        <v>300</v>
      </c>
    </row>
    <row r="107" spans="1:3" x14ac:dyDescent="0.25">
      <c r="A107" s="4">
        <v>4</v>
      </c>
      <c r="B107">
        <v>400</v>
      </c>
    </row>
    <row r="108" spans="1:3" x14ac:dyDescent="0.25">
      <c r="A108" s="4">
        <v>5</v>
      </c>
      <c r="B108">
        <v>500</v>
      </c>
    </row>
    <row r="110" spans="1:3" x14ac:dyDescent="0.25">
      <c r="A110" t="s">
        <v>46</v>
      </c>
      <c r="B110" s="8">
        <f>IRR(B103:B108)</f>
        <v>0.19538198175630428</v>
      </c>
      <c r="C110" t="str" cm="1">
        <f t="array" aca="1" ref="C110" ca="1">getformula(B110)</f>
        <v>&lt;-- =IRR(B103:B108)</v>
      </c>
    </row>
    <row r="111" spans="1:3" x14ac:dyDescent="0.25">
      <c r="B111" s="6"/>
    </row>
    <row r="112" spans="1:3" x14ac:dyDescent="0.25">
      <c r="B112" s="10"/>
    </row>
    <row r="113" spans="1:6" x14ac:dyDescent="0.25">
      <c r="B113" s="16" t="s">
        <v>47</v>
      </c>
      <c r="C113" s="16"/>
      <c r="D113" s="16"/>
    </row>
    <row r="114" spans="1:6" x14ac:dyDescent="0.25">
      <c r="A114" t="s">
        <v>52</v>
      </c>
      <c r="B114" s="8">
        <v>0.19538198245462232</v>
      </c>
      <c r="C114" t="s">
        <v>53</v>
      </c>
    </row>
    <row r="115" spans="1:6" x14ac:dyDescent="0.25">
      <c r="C115" t="str" cm="1">
        <f t="array" aca="1" ref="C115" ca="1">getformula(C117)</f>
        <v>&lt;-- =$B$114*B117</v>
      </c>
    </row>
    <row r="116" spans="1:6" ht="29.25" customHeight="1" x14ac:dyDescent="0.25">
      <c r="A116" s="4" t="s">
        <v>9</v>
      </c>
      <c r="B116" s="11" t="s">
        <v>51</v>
      </c>
      <c r="C116" s="4" t="s">
        <v>48</v>
      </c>
      <c r="D116" s="11" t="s">
        <v>49</v>
      </c>
      <c r="E116" s="11" t="s">
        <v>50</v>
      </c>
    </row>
    <row r="117" spans="1:6" x14ac:dyDescent="0.25">
      <c r="A117" s="4">
        <v>1</v>
      </c>
      <c r="B117" s="12">
        <v>800</v>
      </c>
      <c r="C117" s="12">
        <f>$B$114*B117</f>
        <v>156.30558596369787</v>
      </c>
      <c r="D117" s="12">
        <v>100</v>
      </c>
      <c r="E117" s="12">
        <f>B117+C117-D117</f>
        <v>856.30558596369792</v>
      </c>
      <c r="F117" t="str" cm="1">
        <f t="array" aca="1" ref="F117" ca="1">getformula(E117)</f>
        <v>&lt;-- =B117+C117-D117</v>
      </c>
    </row>
    <row r="118" spans="1:6" x14ac:dyDescent="0.25">
      <c r="A118" s="4">
        <v>2</v>
      </c>
      <c r="B118" s="12">
        <f>E117</f>
        <v>856.30558596369792</v>
      </c>
      <c r="C118" s="12">
        <f t="shared" ref="C118:C121" si="6">$B$114*B118</f>
        <v>167.30668297255431</v>
      </c>
      <c r="D118" s="12">
        <v>200</v>
      </c>
      <c r="E118" s="12">
        <f t="shared" ref="E118:E121" si="7">B118+C118-D118</f>
        <v>823.61226893625224</v>
      </c>
    </row>
    <row r="119" spans="1:6" x14ac:dyDescent="0.25">
      <c r="A119" s="4">
        <v>3</v>
      </c>
      <c r="B119" s="12">
        <f t="shared" ref="B119:B121" si="8">E118</f>
        <v>823.61226893625224</v>
      </c>
      <c r="C119" s="12">
        <f t="shared" si="6"/>
        <v>160.91899787871452</v>
      </c>
      <c r="D119" s="12">
        <v>300</v>
      </c>
      <c r="E119" s="12">
        <f t="shared" si="7"/>
        <v>684.53126681496678</v>
      </c>
    </row>
    <row r="120" spans="1:6" x14ac:dyDescent="0.25">
      <c r="A120" s="4">
        <v>4</v>
      </c>
      <c r="B120" s="12">
        <f t="shared" si="8"/>
        <v>684.53126681496678</v>
      </c>
      <c r="C120" s="12">
        <f t="shared" si="6"/>
        <v>133.74507596248222</v>
      </c>
      <c r="D120" s="12">
        <v>400</v>
      </c>
      <c r="E120" s="12">
        <f t="shared" si="7"/>
        <v>418.27634277744903</v>
      </c>
    </row>
    <row r="121" spans="1:6" x14ac:dyDescent="0.25">
      <c r="A121" s="4">
        <v>5</v>
      </c>
      <c r="B121" s="12">
        <f t="shared" si="8"/>
        <v>418.27634277744903</v>
      </c>
      <c r="C121" s="12">
        <f t="shared" si="6"/>
        <v>81.723661065727143</v>
      </c>
      <c r="D121" s="12">
        <v>500</v>
      </c>
      <c r="E121" s="12">
        <f t="shared" si="7"/>
        <v>3.843176159534778E-6</v>
      </c>
    </row>
    <row r="122" spans="1:6" x14ac:dyDescent="0.25">
      <c r="A122" s="4" t="s">
        <v>54</v>
      </c>
      <c r="B122" s="4"/>
      <c r="C122" s="4"/>
      <c r="D122" s="4"/>
      <c r="E122" s="4"/>
    </row>
    <row r="123" spans="1:6" x14ac:dyDescent="0.25">
      <c r="A123" s="4"/>
      <c r="B123" s="4"/>
      <c r="C123" s="4"/>
      <c r="D123" s="4"/>
      <c r="E123" s="4"/>
    </row>
    <row r="124" spans="1:6" x14ac:dyDescent="0.25">
      <c r="A124" s="4"/>
      <c r="B124" s="4"/>
      <c r="C124" s="4"/>
      <c r="D124" s="4"/>
      <c r="E124" s="4"/>
    </row>
    <row r="125" spans="1:6" x14ac:dyDescent="0.25">
      <c r="A125" t="s">
        <v>55</v>
      </c>
      <c r="B125">
        <v>1000</v>
      </c>
    </row>
    <row r="126" spans="1:6" x14ac:dyDescent="0.25">
      <c r="A126" t="s">
        <v>56</v>
      </c>
      <c r="B126">
        <v>100</v>
      </c>
    </row>
    <row r="127" spans="1:6" x14ac:dyDescent="0.25">
      <c r="A127" s="13" t="s">
        <v>57</v>
      </c>
      <c r="B127">
        <v>30</v>
      </c>
    </row>
    <row r="128" spans="1:6" x14ac:dyDescent="0.25">
      <c r="A128" t="s">
        <v>58</v>
      </c>
      <c r="B128" s="9">
        <f>RATE(B127,B126,-B125)</f>
        <v>9.3073397717987436E-2</v>
      </c>
      <c r="C128" t="str" cm="1">
        <f t="array" aca="1" ref="C128" ca="1">getformula(B128)</f>
        <v>&lt;-- =RATE(B127,B126,-B125)</v>
      </c>
    </row>
    <row r="131" spans="1:12" x14ac:dyDescent="0.25">
      <c r="A131" s="2" t="s">
        <v>59</v>
      </c>
    </row>
    <row r="132" spans="1:12" x14ac:dyDescent="0.25">
      <c r="B132" s="8"/>
    </row>
    <row r="133" spans="1:12" x14ac:dyDescent="0.25">
      <c r="D133" s="15" t="s">
        <v>61</v>
      </c>
      <c r="E133" s="15"/>
    </row>
    <row r="134" spans="1:12" x14ac:dyDescent="0.25">
      <c r="D134" t="s">
        <v>8</v>
      </c>
      <c r="E134" t="s">
        <v>60</v>
      </c>
    </row>
    <row r="135" spans="1:12" x14ac:dyDescent="0.25">
      <c r="A135" s="4" t="s">
        <v>9</v>
      </c>
      <c r="B135" t="s">
        <v>10</v>
      </c>
      <c r="D135" s="1">
        <v>0</v>
      </c>
      <c r="E135" s="6">
        <f>NPV(D135,$B$137:$B$141)+$B$136</f>
        <v>-20</v>
      </c>
      <c r="G135" t="str" cm="1">
        <f t="array" aca="1" ref="G135" ca="1">getformula(E135)</f>
        <v>&lt;-- =NPV(D135,$B$137:$B$141)+$B$136</v>
      </c>
    </row>
    <row r="136" spans="1:12" x14ac:dyDescent="0.25">
      <c r="A136" s="4">
        <v>0</v>
      </c>
      <c r="B136">
        <v>-145</v>
      </c>
      <c r="C136" s="6"/>
      <c r="D136" s="1">
        <f>D135+0.03</f>
        <v>0.03</v>
      </c>
      <c r="E136" s="6">
        <f t="shared" ref="E136:E148" si="9">NPV(D136,$B$137:$B$141)+$B$136</f>
        <v>-10.507575424608092</v>
      </c>
    </row>
    <row r="137" spans="1:12" x14ac:dyDescent="0.25">
      <c r="A137" s="4">
        <v>1</v>
      </c>
      <c r="B137">
        <v>100</v>
      </c>
      <c r="C137" s="6"/>
      <c r="D137" s="1">
        <f>D136+0.03</f>
        <v>0.06</v>
      </c>
      <c r="E137" s="6">
        <f t="shared" si="9"/>
        <v>-3.9854362682000044</v>
      </c>
      <c r="H137" s="17" t="s">
        <v>75</v>
      </c>
      <c r="I137" s="17"/>
      <c r="J137" s="17"/>
      <c r="K137" s="17"/>
      <c r="L137" s="17"/>
    </row>
    <row r="138" spans="1:12" x14ac:dyDescent="0.25">
      <c r="A138" s="4">
        <v>2</v>
      </c>
      <c r="B138">
        <v>100</v>
      </c>
      <c r="C138" s="6"/>
      <c r="D138" s="1">
        <f t="shared" ref="D138:D147" si="10">D137+0.03</f>
        <v>0.09</v>
      </c>
      <c r="E138" s="6">
        <f t="shared" si="9"/>
        <v>0.24085647329212634</v>
      </c>
      <c r="I138" s="17" t="s">
        <v>70</v>
      </c>
      <c r="J138" s="17"/>
    </row>
    <row r="139" spans="1:12" x14ac:dyDescent="0.25">
      <c r="A139" s="4">
        <v>3</v>
      </c>
      <c r="B139">
        <v>100</v>
      </c>
      <c r="C139" s="6"/>
      <c r="D139" s="1">
        <f t="shared" si="10"/>
        <v>0.12</v>
      </c>
      <c r="E139" s="6">
        <f t="shared" si="9"/>
        <v>2.6925493400257778</v>
      </c>
      <c r="G139" t="s">
        <v>9</v>
      </c>
      <c r="H139" t="s">
        <v>71</v>
      </c>
      <c r="I139" t="s">
        <v>72</v>
      </c>
      <c r="J139" t="s">
        <v>73</v>
      </c>
      <c r="K139" t="s">
        <v>74</v>
      </c>
    </row>
    <row r="140" spans="1:12" x14ac:dyDescent="0.25">
      <c r="A140" s="4">
        <v>4</v>
      </c>
      <c r="B140">
        <v>100</v>
      </c>
      <c r="C140" s="6"/>
      <c r="D140" s="1">
        <f t="shared" si="10"/>
        <v>0.15</v>
      </c>
      <c r="E140" s="6">
        <f t="shared" si="9"/>
        <v>3.7742340642815009</v>
      </c>
      <c r="G140">
        <v>1</v>
      </c>
      <c r="H140" s="5">
        <v>145</v>
      </c>
      <c r="I140" s="5">
        <f>$B$156*H140</f>
        <v>12.735099708227789</v>
      </c>
      <c r="J140">
        <v>100</v>
      </c>
      <c r="K140" s="5">
        <f>H140+I140-J140</f>
        <v>57.735099708227779</v>
      </c>
      <c r="L140" s="5"/>
    </row>
    <row r="141" spans="1:12" x14ac:dyDescent="0.25">
      <c r="A141" s="4">
        <v>5</v>
      </c>
      <c r="B141">
        <v>-275</v>
      </c>
      <c r="C141" s="6"/>
      <c r="D141" s="1">
        <f t="shared" si="10"/>
        <v>0.18</v>
      </c>
      <c r="E141" s="6">
        <f t="shared" si="9"/>
        <v>3.8011460077677839</v>
      </c>
      <c r="G141" s="14">
        <v>2</v>
      </c>
      <c r="H141" s="5">
        <f>K140</f>
        <v>57.735099708227779</v>
      </c>
      <c r="I141" s="5">
        <f t="shared" ref="I141:I144" si="11">$B$156*H141</f>
        <v>5.0707741479224406</v>
      </c>
      <c r="J141">
        <v>100</v>
      </c>
      <c r="K141" s="5">
        <f t="shared" ref="K141:K144" si="12">H141+I141-J141</f>
        <v>-37.194126143849779</v>
      </c>
    </row>
    <row r="142" spans="1:12" x14ac:dyDescent="0.25">
      <c r="D142" s="1">
        <f t="shared" si="10"/>
        <v>0.21</v>
      </c>
      <c r="E142" s="6">
        <f t="shared" si="9"/>
        <v>3.0197000689104811</v>
      </c>
      <c r="G142">
        <v>3</v>
      </c>
      <c r="H142" s="5">
        <f t="shared" ref="H142:H144" si="13">K141</f>
        <v>-37.194126143849779</v>
      </c>
      <c r="I142" s="5">
        <f t="shared" si="11"/>
        <v>-3.2666958965677853</v>
      </c>
      <c r="J142">
        <v>100</v>
      </c>
      <c r="K142" s="5">
        <f t="shared" si="12"/>
        <v>-140.46082204041755</v>
      </c>
    </row>
    <row r="143" spans="1:12" x14ac:dyDescent="0.25">
      <c r="D143" s="1">
        <f t="shared" si="10"/>
        <v>0.24</v>
      </c>
      <c r="E143" s="6">
        <f t="shared" si="9"/>
        <v>1.6230390485557962</v>
      </c>
      <c r="G143">
        <v>4</v>
      </c>
      <c r="H143" s="5">
        <f t="shared" si="13"/>
        <v>-140.46082204041755</v>
      </c>
      <c r="I143" s="5">
        <f t="shared" si="11"/>
        <v>-12.336431543340392</v>
      </c>
      <c r="J143">
        <v>100</v>
      </c>
      <c r="K143" s="5">
        <f t="shared" si="12"/>
        <v>-252.79725358375794</v>
      </c>
    </row>
    <row r="144" spans="1:12" x14ac:dyDescent="0.25">
      <c r="D144" s="1">
        <f t="shared" si="10"/>
        <v>0.27</v>
      </c>
      <c r="E144" s="6">
        <f t="shared" si="9"/>
        <v>-0.237122901511583</v>
      </c>
      <c r="G144">
        <v>5</v>
      </c>
      <c r="H144" s="5">
        <f t="shared" si="13"/>
        <v>-252.79725358375794</v>
      </c>
      <c r="I144" s="5">
        <f t="shared" si="11"/>
        <v>-22.20274641624346</v>
      </c>
      <c r="J144">
        <v>-275</v>
      </c>
      <c r="K144" s="5">
        <f t="shared" si="12"/>
        <v>-1.4210854715202004E-12</v>
      </c>
    </row>
    <row r="145" spans="1:5" x14ac:dyDescent="0.25">
      <c r="D145" s="1">
        <f t="shared" si="10"/>
        <v>0.30000000000000004</v>
      </c>
      <c r="E145" s="6">
        <f t="shared" si="9"/>
        <v>-2.4414276595572915</v>
      </c>
    </row>
    <row r="146" spans="1:5" x14ac:dyDescent="0.25">
      <c r="D146" s="1">
        <f t="shared" si="10"/>
        <v>0.33000000000000007</v>
      </c>
      <c r="E146" s="6">
        <f t="shared" si="9"/>
        <v>-4.895886047904952</v>
      </c>
    </row>
    <row r="147" spans="1:5" x14ac:dyDescent="0.25">
      <c r="D147" s="1">
        <f t="shared" si="10"/>
        <v>0.3600000000000001</v>
      </c>
      <c r="E147" s="6">
        <f t="shared" si="9"/>
        <v>-7.5264699851815919</v>
      </c>
    </row>
    <row r="148" spans="1:5" x14ac:dyDescent="0.25">
      <c r="D148" s="1">
        <f>D147+0.03</f>
        <v>0.39000000000000012</v>
      </c>
      <c r="E148" s="6">
        <f t="shared" si="9"/>
        <v>-10.274907341794687</v>
      </c>
    </row>
    <row r="155" spans="1:5" x14ac:dyDescent="0.25">
      <c r="A155" s="2" t="s">
        <v>76</v>
      </c>
    </row>
    <row r="156" spans="1:5" x14ac:dyDescent="0.25">
      <c r="A156" t="s">
        <v>62</v>
      </c>
      <c r="B156" s="8">
        <f>IRR(B136:B141,0.1)</f>
        <v>8.7828273849846816E-2</v>
      </c>
      <c r="C156" t="str" cm="1">
        <f t="array" aca="1" ref="C156" ca="1">getformula(B156)</f>
        <v>&lt;-- =IRR(B136:B141,0.1)</v>
      </c>
    </row>
    <row r="157" spans="1:5" x14ac:dyDescent="0.25">
      <c r="A157" t="s">
        <v>63</v>
      </c>
      <c r="B157" s="8">
        <f>IRR(B136:B141,0.5)</f>
        <v>0.26649500716766861</v>
      </c>
      <c r="C157" t="str" cm="1">
        <f t="array" aca="1" ref="C157" ca="1">getformula(B157)</f>
        <v>&lt;-- =IRR(B136:B141,0.5)</v>
      </c>
    </row>
    <row r="160" spans="1:5" x14ac:dyDescent="0.25">
      <c r="A160" t="s">
        <v>64</v>
      </c>
    </row>
    <row r="161" spans="1:6" x14ac:dyDescent="0.25">
      <c r="A161" t="s">
        <v>65</v>
      </c>
      <c r="B161">
        <v>1000</v>
      </c>
    </row>
    <row r="162" spans="1:6" x14ac:dyDescent="0.25">
      <c r="A162" t="s">
        <v>66</v>
      </c>
      <c r="B162" s="1">
        <v>0.1</v>
      </c>
    </row>
    <row r="163" spans="1:6" x14ac:dyDescent="0.25">
      <c r="A163" t="s">
        <v>67</v>
      </c>
      <c r="B163">
        <v>8</v>
      </c>
    </row>
    <row r="164" spans="1:6" x14ac:dyDescent="0.25">
      <c r="A164" t="s">
        <v>68</v>
      </c>
      <c r="B164">
        <f>B162*B161</f>
        <v>100</v>
      </c>
    </row>
    <row r="165" spans="1:6" x14ac:dyDescent="0.25">
      <c r="A165" t="s">
        <v>69</v>
      </c>
      <c r="B165">
        <v>800</v>
      </c>
      <c r="D165" s="15" t="s">
        <v>61</v>
      </c>
      <c r="E165" s="15"/>
    </row>
    <row r="166" spans="1:6" x14ac:dyDescent="0.25">
      <c r="D166" t="s">
        <v>8</v>
      </c>
      <c r="E166" t="s">
        <v>60</v>
      </c>
    </row>
    <row r="167" spans="1:6" x14ac:dyDescent="0.25">
      <c r="A167" s="3" t="s">
        <v>9</v>
      </c>
      <c r="B167" s="2" t="s">
        <v>10</v>
      </c>
      <c r="D167" s="1">
        <v>0</v>
      </c>
      <c r="E167" s="5">
        <f>NPV(D167,$B$169:$B$176)+$B$168</f>
        <v>1000</v>
      </c>
      <c r="F167" t="str" cm="1">
        <f t="array" aca="1" ref="F167" ca="1">getformula(E167)</f>
        <v>&lt;-- =NPV(D167,$B$169:$B$176)+$B$168</v>
      </c>
    </row>
    <row r="168" spans="1:6" x14ac:dyDescent="0.25">
      <c r="A168" s="4">
        <v>0</v>
      </c>
      <c r="B168">
        <v>-800</v>
      </c>
      <c r="D168" s="1">
        <f>D167+0.02</f>
        <v>0.02</v>
      </c>
      <c r="E168" s="5">
        <f t="shared" ref="E168:E177" si="14">NPV(D168,$B$169:$B$176)+$B$168</f>
        <v>786.03851523955382</v>
      </c>
    </row>
    <row r="169" spans="1:6" x14ac:dyDescent="0.25">
      <c r="A169" s="4">
        <v>1</v>
      </c>
      <c r="B169">
        <f>$B$164</f>
        <v>100</v>
      </c>
      <c r="D169" s="1">
        <f t="shared" ref="D169:D177" si="15">D168+0.02</f>
        <v>0.04</v>
      </c>
      <c r="E169" s="5">
        <f t="shared" si="14"/>
        <v>603.96469249702341</v>
      </c>
    </row>
    <row r="170" spans="1:6" x14ac:dyDescent="0.25">
      <c r="A170" s="4">
        <v>2</v>
      </c>
      <c r="B170">
        <f t="shared" ref="B170:B175" si="16">$B$164</f>
        <v>100</v>
      </c>
      <c r="D170" s="1">
        <f t="shared" si="15"/>
        <v>0.06</v>
      </c>
      <c r="E170" s="5">
        <f t="shared" si="14"/>
        <v>448.39175243878162</v>
      </c>
    </row>
    <row r="171" spans="1:6" x14ac:dyDescent="0.25">
      <c r="A171" s="4">
        <v>3</v>
      </c>
      <c r="B171">
        <f t="shared" si="16"/>
        <v>100</v>
      </c>
      <c r="D171" s="1">
        <f t="shared" si="15"/>
        <v>0.08</v>
      </c>
      <c r="E171" s="5">
        <f t="shared" si="14"/>
        <v>314.93277887450563</v>
      </c>
    </row>
    <row r="172" spans="1:6" x14ac:dyDescent="0.25">
      <c r="A172" s="4">
        <v>4</v>
      </c>
      <c r="B172">
        <f t="shared" si="16"/>
        <v>100</v>
      </c>
      <c r="D172" s="1">
        <f t="shared" si="15"/>
        <v>0.1</v>
      </c>
      <c r="E172" s="5">
        <f t="shared" si="14"/>
        <v>199.99999999999955</v>
      </c>
    </row>
    <row r="173" spans="1:6" x14ac:dyDescent="0.25">
      <c r="A173" s="4">
        <v>5</v>
      </c>
      <c r="B173">
        <f t="shared" si="16"/>
        <v>100</v>
      </c>
      <c r="D173" s="1">
        <f t="shared" si="15"/>
        <v>0.12000000000000001</v>
      </c>
      <c r="E173" s="5">
        <f t="shared" si="14"/>
        <v>100.64720466322774</v>
      </c>
    </row>
    <row r="174" spans="1:6" x14ac:dyDescent="0.25">
      <c r="A174" s="4">
        <v>6</v>
      </c>
      <c r="B174">
        <f t="shared" si="16"/>
        <v>100</v>
      </c>
      <c r="D174" s="1">
        <f t="shared" si="15"/>
        <v>0.14000000000000001</v>
      </c>
      <c r="E174" s="5">
        <f t="shared" si="14"/>
        <v>14.445444243074121</v>
      </c>
    </row>
    <row r="175" spans="1:6" x14ac:dyDescent="0.25">
      <c r="A175" s="4">
        <v>7</v>
      </c>
      <c r="B175">
        <f t="shared" si="16"/>
        <v>100</v>
      </c>
      <c r="D175" s="1">
        <f t="shared" si="15"/>
        <v>0.16</v>
      </c>
      <c r="E175" s="5">
        <f t="shared" si="14"/>
        <v>-60.615453700742364</v>
      </c>
    </row>
    <row r="176" spans="1:6" x14ac:dyDescent="0.25">
      <c r="A176" s="4">
        <v>8</v>
      </c>
      <c r="B176">
        <v>1100</v>
      </c>
      <c r="D176" s="1">
        <f t="shared" si="15"/>
        <v>0.18</v>
      </c>
      <c r="E176" s="5">
        <f t="shared" si="14"/>
        <v>-126.20526056422</v>
      </c>
      <c r="F176" s="8"/>
    </row>
    <row r="177" spans="1:5" x14ac:dyDescent="0.25">
      <c r="D177" s="1">
        <f t="shared" si="15"/>
        <v>0.19999999999999998</v>
      </c>
      <c r="E177" s="5">
        <f t="shared" si="14"/>
        <v>-183.71598031931103</v>
      </c>
    </row>
    <row r="178" spans="1:5" x14ac:dyDescent="0.25">
      <c r="D178" s="8"/>
    </row>
    <row r="179" spans="1:5" x14ac:dyDescent="0.25">
      <c r="D179" s="8"/>
    </row>
    <row r="180" spans="1:5" x14ac:dyDescent="0.25">
      <c r="E180" s="1"/>
    </row>
    <row r="181" spans="1:5" x14ac:dyDescent="0.25">
      <c r="E181" s="1"/>
    </row>
    <row r="189" spans="1:5" x14ac:dyDescent="0.25">
      <c r="A189" t="s">
        <v>58</v>
      </c>
      <c r="B189" s="8">
        <f>IRR(B168:B176)</f>
        <v>0.14364208444928206</v>
      </c>
      <c r="C189" t="str" cm="1">
        <f t="array" aca="1" ref="C189" ca="1">getformula(B189)</f>
        <v>&lt;-- =IRR(B168:B176)</v>
      </c>
    </row>
    <row r="190" spans="1:5" x14ac:dyDescent="0.25">
      <c r="A190" t="s">
        <v>77</v>
      </c>
      <c r="B190" s="5">
        <f>NPV(B189,B169:B176)+B168</f>
        <v>7.6784090197179466E-10</v>
      </c>
      <c r="C190" t="str" cm="1">
        <f t="array" aca="1" ref="C190" ca="1">getformula(B190)</f>
        <v>&lt;-- =NPV(B189,B169:B176)+B168</v>
      </c>
    </row>
    <row r="192" spans="1:5" x14ac:dyDescent="0.25">
      <c r="B192" s="8">
        <f>RATE(8,100,-800,1000)</f>
        <v>0.14364208444947807</v>
      </c>
      <c r="C192" t="str" cm="1">
        <f t="array" aca="1" ref="C192" ca="1">getformula(B192)</f>
        <v>&lt;-- =RATE(8,100,-800,1000)</v>
      </c>
    </row>
    <row r="195" spans="1:6" x14ac:dyDescent="0.25">
      <c r="A195" s="2" t="s">
        <v>78</v>
      </c>
      <c r="B195" s="6"/>
    </row>
    <row r="196" spans="1:6" x14ac:dyDescent="0.25">
      <c r="A196" t="s">
        <v>79</v>
      </c>
      <c r="B196">
        <v>10000</v>
      </c>
    </row>
    <row r="197" spans="1:6" x14ac:dyDescent="0.25">
      <c r="A197" t="s">
        <v>80</v>
      </c>
      <c r="B197" s="1">
        <v>7.0000000000000007E-2</v>
      </c>
    </row>
    <row r="198" spans="1:6" x14ac:dyDescent="0.25">
      <c r="A198" t="s">
        <v>81</v>
      </c>
      <c r="B198">
        <v>6</v>
      </c>
    </row>
    <row r="199" spans="1:6" x14ac:dyDescent="0.25">
      <c r="A199" t="s">
        <v>82</v>
      </c>
      <c r="B199" s="6">
        <f>PMT(B197,B198,-B196)</f>
        <v>2097.9579975832812</v>
      </c>
      <c r="C199" t="str" cm="1">
        <f t="array" aca="1" ref="C199" ca="1">getformula(B199)</f>
        <v>&lt;-- =PMT(B197,B198,-B196)</v>
      </c>
    </row>
    <row r="200" spans="1:6" x14ac:dyDescent="0.25">
      <c r="A200" t="s">
        <v>28</v>
      </c>
      <c r="B200" s="5">
        <f>(B197*B196)/(1-((1+B197)^-B198))</f>
        <v>2097.9579975832817</v>
      </c>
      <c r="C200" t="str" cm="1">
        <f t="array" aca="1" ref="C200" ca="1">getformula(B200)</f>
        <v>&lt;-- =(B197*B196)/(1-((1+B197)^-B198))</v>
      </c>
    </row>
    <row r="203" spans="1:6" x14ac:dyDescent="0.25">
      <c r="D203" s="15" t="s">
        <v>87</v>
      </c>
      <c r="E203" s="15"/>
    </row>
    <row r="204" spans="1:6" ht="28.5" customHeight="1" x14ac:dyDescent="0.25">
      <c r="A204" s="3" t="s">
        <v>9</v>
      </c>
      <c r="B204" s="20" t="s">
        <v>83</v>
      </c>
      <c r="C204" s="20" t="s">
        <v>84</v>
      </c>
      <c r="D204" s="3" t="s">
        <v>85</v>
      </c>
      <c r="E204" s="3" t="s">
        <v>86</v>
      </c>
    </row>
    <row r="205" spans="1:6" x14ac:dyDescent="0.25">
      <c r="A205" s="4">
        <v>1</v>
      </c>
      <c r="B205" s="5">
        <v>10000</v>
      </c>
      <c r="C205" s="5">
        <f>$B$200</f>
        <v>2097.9579975832817</v>
      </c>
      <c r="D205" s="5">
        <f>$B$197*B205</f>
        <v>700.00000000000011</v>
      </c>
      <c r="E205" s="5">
        <f>C205-D205</f>
        <v>1397.9579975832817</v>
      </c>
      <c r="F205" t="str" cm="1">
        <f t="array" aca="1" ref="F205" ca="1">getformula(E205)</f>
        <v>&lt;-- =C205-D205</v>
      </c>
    </row>
    <row r="206" spans="1:6" x14ac:dyDescent="0.25">
      <c r="A206" s="4">
        <v>2</v>
      </c>
      <c r="B206" s="5">
        <f>B205-E205</f>
        <v>8602.0420024167179</v>
      </c>
      <c r="C206" s="5">
        <f t="shared" ref="C206:C210" si="17">$B$200</f>
        <v>2097.9579975832817</v>
      </c>
      <c r="D206" s="5">
        <f t="shared" ref="D206:D210" si="18">$B$197*B206</f>
        <v>602.14294016917029</v>
      </c>
      <c r="E206" s="5">
        <f t="shared" ref="E206:E210" si="19">C206-D206</f>
        <v>1495.8150574141114</v>
      </c>
    </row>
    <row r="207" spans="1:6" x14ac:dyDescent="0.25">
      <c r="A207" s="4">
        <v>3</v>
      </c>
      <c r="B207" s="5">
        <f t="shared" ref="B207:B211" si="20">B206-E206</f>
        <v>7106.226945002607</v>
      </c>
      <c r="C207" s="5">
        <f t="shared" si="17"/>
        <v>2097.9579975832817</v>
      </c>
      <c r="D207" s="5">
        <f t="shared" si="18"/>
        <v>497.43588615018251</v>
      </c>
      <c r="E207" s="5">
        <f t="shared" si="19"/>
        <v>1600.5221114330991</v>
      </c>
    </row>
    <row r="208" spans="1:6" x14ac:dyDescent="0.25">
      <c r="A208" s="4">
        <v>4</v>
      </c>
      <c r="B208" s="5">
        <f t="shared" si="20"/>
        <v>5505.7048335695081</v>
      </c>
      <c r="C208" s="5">
        <f t="shared" si="17"/>
        <v>2097.9579975832817</v>
      </c>
      <c r="D208" s="5">
        <f t="shared" si="18"/>
        <v>385.39933834986562</v>
      </c>
      <c r="E208" s="5">
        <f t="shared" si="19"/>
        <v>1712.5586592334162</v>
      </c>
    </row>
    <row r="209" spans="1:5" x14ac:dyDescent="0.25">
      <c r="A209" s="4">
        <v>5</v>
      </c>
      <c r="B209" s="5">
        <f t="shared" si="20"/>
        <v>3793.1461743360919</v>
      </c>
      <c r="C209" s="5">
        <f t="shared" si="17"/>
        <v>2097.9579975832817</v>
      </c>
      <c r="D209" s="5">
        <f t="shared" si="18"/>
        <v>265.52023220352646</v>
      </c>
      <c r="E209" s="5">
        <f t="shared" si="19"/>
        <v>1832.4377653797551</v>
      </c>
    </row>
    <row r="210" spans="1:5" x14ac:dyDescent="0.25">
      <c r="A210" s="4">
        <v>6</v>
      </c>
      <c r="B210" s="5">
        <f t="shared" si="20"/>
        <v>1960.7084089563368</v>
      </c>
      <c r="C210" s="5">
        <f t="shared" si="17"/>
        <v>2097.9579975832817</v>
      </c>
      <c r="D210" s="5">
        <f t="shared" si="18"/>
        <v>137.24958862694359</v>
      </c>
      <c r="E210" s="5">
        <f t="shared" si="19"/>
        <v>1960.7084089563382</v>
      </c>
    </row>
    <row r="211" spans="1:5" x14ac:dyDescent="0.25">
      <c r="A211" s="4">
        <v>7</v>
      </c>
      <c r="B211" s="5">
        <f t="shared" si="20"/>
        <v>0</v>
      </c>
      <c r="C211" s="5"/>
      <c r="D211" s="5" t="str" cm="1">
        <f t="array" aca="1" ref="D211" ca="1">getformula(D205)</f>
        <v>&lt;-- =$B$197*B205</v>
      </c>
      <c r="E211" s="5"/>
    </row>
    <row r="213" spans="1:5" x14ac:dyDescent="0.25">
      <c r="A213" t="s">
        <v>88</v>
      </c>
      <c r="B213" s="6">
        <f>PV(B197,6,-B200)</f>
        <v>10000</v>
      </c>
      <c r="C213" t="str" cm="1">
        <f t="array" aca="1" ref="C213" ca="1">getformula(B213)</f>
        <v>&lt;-- =PV(B197,6,-B200)</v>
      </c>
    </row>
  </sheetData>
  <mergeCells count="6">
    <mergeCell ref="D203:E203"/>
    <mergeCell ref="D133:E133"/>
    <mergeCell ref="B113:D113"/>
    <mergeCell ref="H137:L137"/>
    <mergeCell ref="I138:J138"/>
    <mergeCell ref="D165:E165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E88BC-B911-4526-82F7-CF0EE4B8CF13}">
  <dimension ref="A1:E72"/>
  <sheetViews>
    <sheetView tabSelected="1" topLeftCell="A46" workbookViewId="0">
      <selection activeCell="B72" sqref="B72"/>
    </sheetView>
  </sheetViews>
  <sheetFormatPr defaultRowHeight="15" x14ac:dyDescent="0.25"/>
  <cols>
    <col min="1" max="1" width="26.28515625" customWidth="1"/>
    <col min="2" max="2" width="20.28515625" customWidth="1"/>
    <col min="3" max="3" width="18.5703125" customWidth="1"/>
    <col min="4" max="4" width="13.5703125" customWidth="1"/>
    <col min="5" max="5" width="13.42578125" customWidth="1"/>
  </cols>
  <sheetData>
    <row r="1" spans="1:5" x14ac:dyDescent="0.25">
      <c r="A1" t="s">
        <v>89</v>
      </c>
      <c r="B1">
        <v>1000</v>
      </c>
    </row>
    <row r="2" spans="1:5" x14ac:dyDescent="0.25">
      <c r="A2" t="s">
        <v>90</v>
      </c>
      <c r="B2">
        <v>10</v>
      </c>
    </row>
    <row r="3" spans="1:5" x14ac:dyDescent="0.25">
      <c r="A3" t="s">
        <v>91</v>
      </c>
      <c r="B3" s="1">
        <v>0.1</v>
      </c>
    </row>
    <row r="5" spans="1:5" x14ac:dyDescent="0.25">
      <c r="A5" t="s">
        <v>92</v>
      </c>
    </row>
    <row r="6" spans="1:5" x14ac:dyDescent="0.25">
      <c r="A6" t="s">
        <v>28</v>
      </c>
      <c r="B6" s="5">
        <f>B1*(1+B3)^B2</f>
        <v>2593.7424601000021</v>
      </c>
      <c r="C6" t="str" cm="1">
        <f t="array" aca="1" ref="C6" ca="1">getformula(B6)</f>
        <v>&lt;-- =B1*(1+B3)^B2</v>
      </c>
    </row>
    <row r="7" spans="1:5" x14ac:dyDescent="0.25">
      <c r="A7" t="s">
        <v>93</v>
      </c>
      <c r="B7" s="6">
        <f>FV(B3,B2,0,-B1)</f>
        <v>2593.7424601000021</v>
      </c>
      <c r="C7" t="str" cm="1">
        <f t="array" aca="1" ref="C7" ca="1">getformula(B7)</f>
        <v>&lt;-- =FV(B3,B2,0,-B1)</v>
      </c>
    </row>
    <row r="10" spans="1:5" x14ac:dyDescent="0.25">
      <c r="A10" s="2" t="s">
        <v>94</v>
      </c>
    </row>
    <row r="11" spans="1:5" x14ac:dyDescent="0.25">
      <c r="A11" t="s">
        <v>85</v>
      </c>
      <c r="B11" s="1">
        <v>0.1</v>
      </c>
    </row>
    <row r="12" spans="1:5" x14ac:dyDescent="0.25">
      <c r="A12" t="s">
        <v>95</v>
      </c>
      <c r="B12">
        <v>1000</v>
      </c>
      <c r="C12" t="s">
        <v>97</v>
      </c>
    </row>
    <row r="13" spans="1:5" x14ac:dyDescent="0.25">
      <c r="A13" t="s">
        <v>96</v>
      </c>
      <c r="B13">
        <v>10</v>
      </c>
    </row>
    <row r="14" spans="1:5" x14ac:dyDescent="0.25">
      <c r="A14" t="s">
        <v>98</v>
      </c>
    </row>
    <row r="16" spans="1:5" ht="45" customHeight="1" x14ac:dyDescent="0.25">
      <c r="A16" s="19" t="s">
        <v>9</v>
      </c>
      <c r="B16" s="21" t="s">
        <v>99</v>
      </c>
      <c r="C16" s="21" t="s">
        <v>100</v>
      </c>
      <c r="D16" s="21" t="s">
        <v>101</v>
      </c>
      <c r="E16" s="21" t="s">
        <v>102</v>
      </c>
    </row>
    <row r="17" spans="1:5" x14ac:dyDescent="0.25">
      <c r="A17" s="4">
        <v>1</v>
      </c>
      <c r="B17" s="5">
        <v>0</v>
      </c>
      <c r="C17" s="5">
        <f>$B$12</f>
        <v>1000</v>
      </c>
      <c r="D17" s="5">
        <f>$B$11*(B17+C17)</f>
        <v>100</v>
      </c>
      <c r="E17" s="5">
        <f>B17+C17+D17</f>
        <v>1100</v>
      </c>
    </row>
    <row r="18" spans="1:5" x14ac:dyDescent="0.25">
      <c r="A18" s="4">
        <v>2</v>
      </c>
      <c r="B18" s="5">
        <f>E17</f>
        <v>1100</v>
      </c>
      <c r="C18" s="5">
        <f t="shared" ref="C18:C26" si="0">$B$12</f>
        <v>1000</v>
      </c>
      <c r="D18" s="5">
        <f t="shared" ref="D18:D26" si="1">$B$11*(B18+C18)</f>
        <v>210</v>
      </c>
      <c r="E18" s="5">
        <f t="shared" ref="E18:E26" si="2">B18+C18+D18</f>
        <v>2310</v>
      </c>
    </row>
    <row r="19" spans="1:5" x14ac:dyDescent="0.25">
      <c r="A19" s="4">
        <v>3</v>
      </c>
      <c r="B19" s="5">
        <f t="shared" ref="B19:B26" si="3">E18</f>
        <v>2310</v>
      </c>
      <c r="C19" s="5">
        <f t="shared" si="0"/>
        <v>1000</v>
      </c>
      <c r="D19" s="5">
        <f t="shared" si="1"/>
        <v>331</v>
      </c>
      <c r="E19" s="5">
        <f t="shared" si="2"/>
        <v>3641</v>
      </c>
    </row>
    <row r="20" spans="1:5" x14ac:dyDescent="0.25">
      <c r="A20" s="4">
        <v>4</v>
      </c>
      <c r="B20" s="5">
        <f t="shared" si="3"/>
        <v>3641</v>
      </c>
      <c r="C20" s="5">
        <f t="shared" si="0"/>
        <v>1000</v>
      </c>
      <c r="D20" s="5">
        <f t="shared" si="1"/>
        <v>464.1</v>
      </c>
      <c r="E20" s="5">
        <f t="shared" si="2"/>
        <v>5105.1000000000004</v>
      </c>
    </row>
    <row r="21" spans="1:5" x14ac:dyDescent="0.25">
      <c r="A21" s="4">
        <v>5</v>
      </c>
      <c r="B21" s="5">
        <f t="shared" si="3"/>
        <v>5105.1000000000004</v>
      </c>
      <c r="C21" s="5">
        <f t="shared" si="0"/>
        <v>1000</v>
      </c>
      <c r="D21" s="5">
        <f t="shared" si="1"/>
        <v>610.5100000000001</v>
      </c>
      <c r="E21" s="5">
        <f t="shared" si="2"/>
        <v>6715.6100000000006</v>
      </c>
    </row>
    <row r="22" spans="1:5" x14ac:dyDescent="0.25">
      <c r="A22" s="4">
        <v>6</v>
      </c>
      <c r="B22" s="5">
        <f t="shared" si="3"/>
        <v>6715.6100000000006</v>
      </c>
      <c r="C22" s="5">
        <f t="shared" si="0"/>
        <v>1000</v>
      </c>
      <c r="D22" s="5">
        <f t="shared" si="1"/>
        <v>771.56100000000015</v>
      </c>
      <c r="E22" s="5">
        <f t="shared" si="2"/>
        <v>8487.1710000000003</v>
      </c>
    </row>
    <row r="23" spans="1:5" x14ac:dyDescent="0.25">
      <c r="A23" s="4">
        <v>7</v>
      </c>
      <c r="B23" s="5">
        <f t="shared" si="3"/>
        <v>8487.1710000000003</v>
      </c>
      <c r="C23" s="5">
        <f t="shared" si="0"/>
        <v>1000</v>
      </c>
      <c r="D23" s="5">
        <f t="shared" si="1"/>
        <v>948.71710000000007</v>
      </c>
      <c r="E23" s="5">
        <f t="shared" si="2"/>
        <v>10435.8881</v>
      </c>
    </row>
    <row r="24" spans="1:5" x14ac:dyDescent="0.25">
      <c r="A24" s="4">
        <v>8</v>
      </c>
      <c r="B24" s="5">
        <f t="shared" si="3"/>
        <v>10435.8881</v>
      </c>
      <c r="C24" s="5">
        <f t="shared" si="0"/>
        <v>1000</v>
      </c>
      <c r="D24" s="5">
        <f t="shared" si="1"/>
        <v>1143.58881</v>
      </c>
      <c r="E24" s="5">
        <f t="shared" si="2"/>
        <v>12579.476909999999</v>
      </c>
    </row>
    <row r="25" spans="1:5" x14ac:dyDescent="0.25">
      <c r="A25" s="4">
        <v>9</v>
      </c>
      <c r="B25" s="5">
        <f t="shared" si="3"/>
        <v>12579.476909999999</v>
      </c>
      <c r="C25" s="5">
        <f t="shared" si="0"/>
        <v>1000</v>
      </c>
      <c r="D25" s="5">
        <f t="shared" si="1"/>
        <v>1357.9476910000001</v>
      </c>
      <c r="E25" s="5">
        <f t="shared" si="2"/>
        <v>14937.424600999999</v>
      </c>
    </row>
    <row r="26" spans="1:5" x14ac:dyDescent="0.25">
      <c r="A26" s="4">
        <v>10</v>
      </c>
      <c r="B26" s="5">
        <f t="shared" si="3"/>
        <v>14937.424600999999</v>
      </c>
      <c r="C26" s="5">
        <f t="shared" si="0"/>
        <v>1000</v>
      </c>
      <c r="D26" s="5">
        <f t="shared" si="1"/>
        <v>1593.7424601</v>
      </c>
      <c r="E26" s="5">
        <f t="shared" si="2"/>
        <v>17531.167061099997</v>
      </c>
    </row>
    <row r="28" spans="1:5" x14ac:dyDescent="0.25">
      <c r="A28" t="s">
        <v>103</v>
      </c>
      <c r="B28" s="6">
        <f>FV(B11,B13,-B12,,1)</f>
        <v>17531.167061100023</v>
      </c>
      <c r="C28" s="5" t="str" cm="1">
        <f t="array" aca="1" ref="C28" ca="1">getformula(B28)</f>
        <v>&lt;-- =FV(B11,B13,-B12,,1)</v>
      </c>
    </row>
    <row r="31" spans="1:5" x14ac:dyDescent="0.25">
      <c r="B31" s="2" t="s">
        <v>104</v>
      </c>
    </row>
    <row r="32" spans="1:5" x14ac:dyDescent="0.25">
      <c r="A32" t="s">
        <v>85</v>
      </c>
      <c r="B32" s="1">
        <v>7.0000000000000007E-2</v>
      </c>
    </row>
    <row r="33" spans="1:5" x14ac:dyDescent="0.25">
      <c r="A33" t="s">
        <v>95</v>
      </c>
      <c r="B33">
        <v>31150.597318867378</v>
      </c>
      <c r="C33" t="s">
        <v>107</v>
      </c>
    </row>
    <row r="34" spans="1:5" x14ac:dyDescent="0.25">
      <c r="A34" t="s">
        <v>105</v>
      </c>
      <c r="B34" s="18">
        <v>30000</v>
      </c>
    </row>
    <row r="36" spans="1:5" ht="45.75" customHeight="1" x14ac:dyDescent="0.25">
      <c r="A36" s="19" t="s">
        <v>9</v>
      </c>
      <c r="B36" s="20" t="s">
        <v>99</v>
      </c>
      <c r="C36" s="20" t="s">
        <v>100</v>
      </c>
      <c r="D36" s="20" t="s">
        <v>106</v>
      </c>
      <c r="E36" s="20" t="s">
        <v>102</v>
      </c>
    </row>
    <row r="37" spans="1:5" x14ac:dyDescent="0.25">
      <c r="A37" s="4">
        <v>1</v>
      </c>
      <c r="B37" s="22">
        <v>0</v>
      </c>
      <c r="C37" s="22">
        <f>$B$33</f>
        <v>31150.597318867378</v>
      </c>
      <c r="D37" s="22">
        <f>$B$32*(B37+C37)</f>
        <v>2180.5418123207169</v>
      </c>
      <c r="E37" s="22">
        <f>SUM(B37:D37)</f>
        <v>33331.139131188094</v>
      </c>
    </row>
    <row r="38" spans="1:5" x14ac:dyDescent="0.25">
      <c r="A38" s="4">
        <v>2</v>
      </c>
      <c r="B38" s="22">
        <f>E37</f>
        <v>33331.139131188094</v>
      </c>
      <c r="C38" s="22">
        <f t="shared" ref="C38:C41" si="4">$B$33</f>
        <v>31150.597318867378</v>
      </c>
      <c r="D38" s="22">
        <f>$B$32*(B38+C38)</f>
        <v>4513.7215515038833</v>
      </c>
      <c r="E38" s="22">
        <f>SUM(B38:D38)</f>
        <v>68995.458001559353</v>
      </c>
    </row>
    <row r="39" spans="1:5" x14ac:dyDescent="0.25">
      <c r="A39" s="4">
        <v>3</v>
      </c>
      <c r="B39" s="22">
        <f t="shared" ref="B39:B49" si="5">E38</f>
        <v>68995.458001559353</v>
      </c>
      <c r="C39" s="22">
        <f t="shared" si="4"/>
        <v>31150.597318867378</v>
      </c>
      <c r="D39" s="22">
        <f t="shared" ref="D39:D49" si="6">$B$32*(B39+C39)</f>
        <v>7010.2238724298722</v>
      </c>
      <c r="E39" s="22">
        <f t="shared" ref="E39:E49" si="7">SUM(B39:D39)</f>
        <v>107156.2791928566</v>
      </c>
    </row>
    <row r="40" spans="1:5" x14ac:dyDescent="0.25">
      <c r="A40" s="4">
        <v>4</v>
      </c>
      <c r="B40" s="22">
        <f t="shared" si="5"/>
        <v>107156.2791928566</v>
      </c>
      <c r="C40" s="22">
        <f t="shared" si="4"/>
        <v>31150.597318867378</v>
      </c>
      <c r="D40" s="22">
        <f t="shared" si="6"/>
        <v>9681.4813558206788</v>
      </c>
      <c r="E40" s="22">
        <f t="shared" si="7"/>
        <v>147988.35786754463</v>
      </c>
    </row>
    <row r="41" spans="1:5" x14ac:dyDescent="0.25">
      <c r="A41" s="4">
        <v>5</v>
      </c>
      <c r="B41" s="22">
        <f t="shared" si="5"/>
        <v>147988.35786754463</v>
      </c>
      <c r="C41" s="22">
        <f t="shared" si="4"/>
        <v>31150.597318867378</v>
      </c>
      <c r="D41" s="22">
        <f t="shared" si="6"/>
        <v>12539.726863048842</v>
      </c>
      <c r="E41" s="22">
        <f t="shared" si="7"/>
        <v>191678.68204946085</v>
      </c>
    </row>
    <row r="42" spans="1:5" x14ac:dyDescent="0.25">
      <c r="A42" s="4">
        <v>6</v>
      </c>
      <c r="B42" s="22">
        <f t="shared" si="5"/>
        <v>191678.68204946085</v>
      </c>
      <c r="C42" s="22">
        <f>-$B$34</f>
        <v>-30000</v>
      </c>
      <c r="D42" s="22">
        <f t="shared" si="6"/>
        <v>11317.507743462262</v>
      </c>
      <c r="E42" s="22">
        <f t="shared" si="7"/>
        <v>172996.18979292311</v>
      </c>
    </row>
    <row r="43" spans="1:5" x14ac:dyDescent="0.25">
      <c r="A43" s="4">
        <v>7</v>
      </c>
      <c r="B43" s="22">
        <f t="shared" si="5"/>
        <v>172996.18979292311</v>
      </c>
      <c r="C43" s="22">
        <f t="shared" ref="C43:C49" si="8">-$B$34</f>
        <v>-30000</v>
      </c>
      <c r="D43" s="22">
        <f t="shared" si="6"/>
        <v>10009.733285504619</v>
      </c>
      <c r="E43" s="22">
        <f t="shared" si="7"/>
        <v>153005.92307842773</v>
      </c>
    </row>
    <row r="44" spans="1:5" x14ac:dyDescent="0.25">
      <c r="A44" s="4">
        <v>8</v>
      </c>
      <c r="B44" s="22">
        <f t="shared" si="5"/>
        <v>153005.92307842773</v>
      </c>
      <c r="C44" s="22">
        <f t="shared" si="8"/>
        <v>-30000</v>
      </c>
      <c r="D44" s="22">
        <f t="shared" si="6"/>
        <v>8610.4146154899427</v>
      </c>
      <c r="E44" s="22">
        <f t="shared" si="7"/>
        <v>131616.33769391768</v>
      </c>
    </row>
    <row r="45" spans="1:5" x14ac:dyDescent="0.25">
      <c r="A45" s="4">
        <v>9</v>
      </c>
      <c r="B45" s="22">
        <f t="shared" si="5"/>
        <v>131616.33769391768</v>
      </c>
      <c r="C45" s="22">
        <f t="shared" si="8"/>
        <v>-30000</v>
      </c>
      <c r="D45" s="22">
        <f t="shared" si="6"/>
        <v>7113.1436385742381</v>
      </c>
      <c r="E45" s="22">
        <f t="shared" si="7"/>
        <v>108729.48133249192</v>
      </c>
    </row>
    <row r="46" spans="1:5" x14ac:dyDescent="0.25">
      <c r="A46" s="4">
        <v>10</v>
      </c>
      <c r="B46" s="22">
        <f t="shared" si="5"/>
        <v>108729.48133249192</v>
      </c>
      <c r="C46" s="22">
        <f t="shared" si="8"/>
        <v>-30000</v>
      </c>
      <c r="D46" s="22">
        <f t="shared" si="6"/>
        <v>5511.0636932744355</v>
      </c>
      <c r="E46" s="22">
        <f t="shared" si="7"/>
        <v>84240.545025766362</v>
      </c>
    </row>
    <row r="47" spans="1:5" x14ac:dyDescent="0.25">
      <c r="A47" s="4">
        <v>11</v>
      </c>
      <c r="B47" s="22">
        <f t="shared" si="5"/>
        <v>84240.545025766362</v>
      </c>
      <c r="C47" s="22">
        <f t="shared" si="8"/>
        <v>-30000</v>
      </c>
      <c r="D47" s="22">
        <f t="shared" si="6"/>
        <v>3796.8381518036458</v>
      </c>
      <c r="E47" s="22">
        <f t="shared" si="7"/>
        <v>58037.383177570009</v>
      </c>
    </row>
    <row r="48" spans="1:5" x14ac:dyDescent="0.25">
      <c r="A48" s="4">
        <v>12</v>
      </c>
      <c r="B48" s="22">
        <f t="shared" si="5"/>
        <v>58037.383177570009</v>
      </c>
      <c r="C48" s="22">
        <f t="shared" si="8"/>
        <v>-30000</v>
      </c>
      <c r="D48" s="22">
        <f t="shared" si="6"/>
        <v>1962.6168224299008</v>
      </c>
      <c r="E48" s="22">
        <f t="shared" si="7"/>
        <v>29999.999999999909</v>
      </c>
    </row>
    <row r="49" spans="1:5" x14ac:dyDescent="0.25">
      <c r="A49" s="4">
        <v>13</v>
      </c>
      <c r="B49" s="22">
        <f t="shared" si="5"/>
        <v>29999.999999999909</v>
      </c>
      <c r="C49" s="22">
        <f t="shared" si="8"/>
        <v>-30000</v>
      </c>
      <c r="D49" s="22">
        <f t="shared" si="6"/>
        <v>-6.3664629124104985E-12</v>
      </c>
      <c r="E49" s="22">
        <f t="shared" si="7"/>
        <v>-9.7315933089703321E-11</v>
      </c>
    </row>
    <row r="51" spans="1:5" x14ac:dyDescent="0.25">
      <c r="A51" t="s">
        <v>108</v>
      </c>
      <c r="B51" s="6">
        <f>PV(B32,8,-B34,,1)</f>
        <v>191678.68204946094</v>
      </c>
    </row>
    <row r="52" spans="1:5" x14ac:dyDescent="0.25">
      <c r="A52" t="s">
        <v>109</v>
      </c>
      <c r="B52" s="6">
        <f>B51/(1+B32)^5</f>
        <v>136664.25120290995</v>
      </c>
    </row>
    <row r="55" spans="1:5" x14ac:dyDescent="0.25">
      <c r="B55" s="2" t="s">
        <v>110</v>
      </c>
    </row>
    <row r="56" spans="1:5" x14ac:dyDescent="0.25">
      <c r="A56" t="s">
        <v>111</v>
      </c>
      <c r="B56">
        <v>1000</v>
      </c>
    </row>
    <row r="57" spans="1:5" x14ac:dyDescent="0.25">
      <c r="A57" t="s">
        <v>112</v>
      </c>
      <c r="B57">
        <v>1200</v>
      </c>
    </row>
    <row r="58" spans="1:5" x14ac:dyDescent="0.25">
      <c r="A58" t="s">
        <v>113</v>
      </c>
      <c r="B58">
        <v>2</v>
      </c>
    </row>
    <row r="59" spans="1:5" x14ac:dyDescent="0.25">
      <c r="A59" t="s">
        <v>114</v>
      </c>
      <c r="B59" s="8">
        <f>((B57/B56)^(1/B58)-1)*B58</f>
        <v>0.1908902300206643</v>
      </c>
      <c r="C59" t="str" cm="1">
        <f t="array" aca="1" ref="C59" ca="1">getformula(B59)</f>
        <v>&lt;-- =((B57/B56)^(1/B58)-1)*B58</v>
      </c>
    </row>
    <row r="61" spans="1:5" x14ac:dyDescent="0.25">
      <c r="A61" t="s">
        <v>115</v>
      </c>
      <c r="B61" s="23">
        <f>LN(B57/B56)</f>
        <v>0.18232155679395459</v>
      </c>
      <c r="C61" t="str" cm="1">
        <f t="array" aca="1" ref="C61" ca="1">getformula(B61)</f>
        <v>&lt;-- =LN(B57/B56)</v>
      </c>
    </row>
    <row r="63" spans="1:5" x14ac:dyDescent="0.25">
      <c r="B63" s="2" t="s">
        <v>116</v>
      </c>
    </row>
    <row r="64" spans="1:5" x14ac:dyDescent="0.25">
      <c r="A64" t="s">
        <v>113</v>
      </c>
      <c r="B64" t="s">
        <v>117</v>
      </c>
    </row>
    <row r="65" spans="1:2" x14ac:dyDescent="0.25">
      <c r="A65">
        <v>1</v>
      </c>
      <c r="B65" s="8">
        <f>(($B$57/$B$56)^(1/A65)-1)*A65</f>
        <v>0.19999999999999996</v>
      </c>
    </row>
    <row r="66" spans="1:2" x14ac:dyDescent="0.25">
      <c r="A66">
        <v>2</v>
      </c>
      <c r="B66" s="8">
        <f t="shared" ref="B66:B72" si="9">(($B$57/$B$56)^(1/A66)-1)*A66</f>
        <v>0.1908902300206643</v>
      </c>
    </row>
    <row r="67" spans="1:2" x14ac:dyDescent="0.25">
      <c r="A67">
        <v>4</v>
      </c>
      <c r="B67" s="8">
        <f t="shared" si="9"/>
        <v>0.18654055756842247</v>
      </c>
    </row>
    <row r="68" spans="1:2" x14ac:dyDescent="0.25">
      <c r="A68">
        <v>12</v>
      </c>
      <c r="B68" s="8">
        <f t="shared" si="9"/>
        <v>0.18371364599677431</v>
      </c>
    </row>
    <row r="69" spans="1:2" x14ac:dyDescent="0.25">
      <c r="A69">
        <v>24</v>
      </c>
      <c r="B69" s="8">
        <f t="shared" si="9"/>
        <v>0.18301583772886687</v>
      </c>
    </row>
    <row r="70" spans="1:2" x14ac:dyDescent="0.25">
      <c r="A70">
        <v>365</v>
      </c>
      <c r="B70" s="8">
        <f t="shared" si="9"/>
        <v>0.18236710019882918</v>
      </c>
    </row>
    <row r="71" spans="1:2" x14ac:dyDescent="0.25">
      <c r="A71">
        <v>1000</v>
      </c>
      <c r="B71" s="8">
        <f t="shared" si="9"/>
        <v>0.18233817837920441</v>
      </c>
    </row>
    <row r="72" spans="1:2" x14ac:dyDescent="0.25">
      <c r="A72">
        <v>2000</v>
      </c>
      <c r="B72" s="8">
        <f t="shared" si="9"/>
        <v>0.18232986733401901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0508EDD-7EA3-43F3-9487-FB64579DAD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PV and NPV</vt:lpstr>
      <vt:lpstr>FV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</dc:creator>
  <cp:lastModifiedBy>x</cp:lastModifiedBy>
  <dcterms:created xsi:type="dcterms:W3CDTF">2025-04-20T17:47:53Z</dcterms:created>
  <dcterms:modified xsi:type="dcterms:W3CDTF">2025-04-26T11:45:49Z</dcterms:modified>
</cp:coreProperties>
</file>